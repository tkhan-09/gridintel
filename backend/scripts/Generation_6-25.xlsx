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im AE\EAU-(SE Office)\MOD\Generation\2025\"/>
    </mc:Choice>
  </mc:AlternateContent>
  <xr:revisionPtr revIDLastSave="0" documentId="13_ncr:1_{D7BE8387-1E1F-4B52-ADA7-58B38245F4C5}" xr6:coauthVersionLast="47" xr6:coauthVersionMax="47" xr10:uidLastSave="{00000000-0000-0000-0000-000000000000}"/>
  <bookViews>
    <workbookView xWindow="-120" yWindow="-120" windowWidth="20730" windowHeight="11040" tabRatio="829" activeTab="4" xr2:uid="{00000000-000D-0000-FFFF-FFFF00000000}"/>
  </bookViews>
  <sheets>
    <sheet name="Gen-Ind" sheetId="25" r:id="rId1"/>
    <sheet name="Generation Reading" sheetId="22" r:id="rId2"/>
    <sheet name="GMCO Generation" sheetId="28" r:id="rId3"/>
    <sheet name="Comparison" sheetId="23" r:id="rId4"/>
    <sheet name="Summary" sheetId="24" r:id="rId5"/>
    <sheet name="EAUD'S" sheetId="33" r:id="rId6"/>
    <sheet name="Diff" sheetId="34" r:id="rId7"/>
    <sheet name="SE SIR" sheetId="32" r:id="rId8"/>
    <sheet name="Entry" sheetId="35" r:id="rId9"/>
    <sheet name="Adani Gen" sheetId="36" r:id="rId10"/>
    <sheet name="Sheet1" sheetId="37" r:id="rId11"/>
  </sheets>
  <definedNames>
    <definedName name="_xlnm.Print_Area" localSheetId="3">Comparison!$A$1:$F$57</definedName>
    <definedName name="_xlnm.Print_Area" localSheetId="5">'EAUD''S'!$A$1:$H$233</definedName>
    <definedName name="_xlnm.Print_Area" localSheetId="1">'Generation Reading'!$A$1:$K$1133</definedName>
    <definedName name="_xlnm.Print_Area" localSheetId="0">'Gen-Ind'!$A$1:$J$25</definedName>
    <definedName name="_xlnm.Print_Area" localSheetId="2">'GMCO Generation'!$A$1:$J$281</definedName>
    <definedName name="_xlnm.Print_Area" localSheetId="7">'SE SIR'!$A$1:$O$30</definedName>
    <definedName name="_xlnm.Print_Area" localSheetId="10">Sheet1!$A$1:$F$12</definedName>
    <definedName name="_xlnm.Print_Area" localSheetId="4">Summary!$A$1:$D$54</definedName>
    <definedName name="_xlnm.Print_Titles" localSheetId="2">'GMCO Generation'!$2:$5</definedName>
  </definedNames>
  <calcPr calcId="191029"/>
</workbook>
</file>

<file path=xl/calcChain.xml><?xml version="1.0" encoding="utf-8"?>
<calcChain xmlns="http://schemas.openxmlformats.org/spreadsheetml/2006/main">
  <c r="F27" i="23" l="1"/>
  <c r="E27" i="23"/>
  <c r="F213" i="33"/>
  <c r="G211" i="33"/>
  <c r="F211" i="33"/>
  <c r="E211" i="33"/>
  <c r="D211" i="33"/>
  <c r="C211" i="33"/>
  <c r="F278" i="28"/>
  <c r="F264" i="28"/>
  <c r="K1027" i="22"/>
  <c r="I277" i="28"/>
  <c r="G277" i="28"/>
  <c r="H277" i="28"/>
  <c r="F277" i="28"/>
  <c r="K859" i="22"/>
  <c r="H276" i="28"/>
  <c r="F276" i="28"/>
  <c r="A276" i="28"/>
  <c r="K1026" i="22"/>
  <c r="H1026" i="22"/>
  <c r="C17" i="24" l="1"/>
  <c r="G186" i="33"/>
  <c r="C186" i="33"/>
  <c r="A45" i="28"/>
  <c r="A46" i="28" s="1"/>
  <c r="A47" i="28" s="1"/>
  <c r="A48" i="28" s="1"/>
  <c r="A49" i="28" s="1"/>
  <c r="A50" i="28" s="1"/>
  <c r="A51" i="28" s="1"/>
  <c r="A52" i="28" s="1"/>
  <c r="A53" i="28" s="1"/>
  <c r="A54" i="28" s="1"/>
  <c r="A55" i="28" s="1"/>
  <c r="A57" i="28" s="1"/>
  <c r="A59" i="28" s="1"/>
  <c r="A60" i="28" s="1"/>
  <c r="A61" i="28" s="1"/>
  <c r="A62" i="28" s="1"/>
  <c r="A63" i="28" s="1"/>
  <c r="A64" i="28" s="1"/>
  <c r="A67" i="28" s="1"/>
  <c r="A75" i="28" s="1"/>
  <c r="A76" i="28" s="1"/>
  <c r="H884" i="22"/>
  <c r="K884" i="22" s="1"/>
  <c r="F45" i="28" s="1"/>
  <c r="D186" i="33" s="1"/>
  <c r="H885" i="22"/>
  <c r="K885" i="22" s="1"/>
  <c r="G45" i="28" s="1"/>
  <c r="E186" i="33" s="1"/>
  <c r="K643" i="22"/>
  <c r="K641" i="22"/>
  <c r="K886" i="22" l="1"/>
  <c r="K203" i="22"/>
  <c r="K202" i="22"/>
  <c r="K71" i="22"/>
  <c r="K72" i="22"/>
  <c r="K73" i="22"/>
  <c r="H71" i="22"/>
  <c r="H72" i="22"/>
  <c r="H73" i="22"/>
  <c r="K34" i="22"/>
  <c r="K35" i="22"/>
  <c r="K36" i="22"/>
  <c r="K37" i="22"/>
  <c r="G235" i="28" l="1"/>
  <c r="C227" i="33"/>
  <c r="H1109" i="22"/>
  <c r="K1109" i="22" s="1"/>
  <c r="H1110" i="22"/>
  <c r="K1110" i="22" s="1"/>
  <c r="H1111" i="22"/>
  <c r="K1111" i="22" s="1"/>
  <c r="H1108" i="22"/>
  <c r="K1108" i="22" s="1"/>
  <c r="G253" i="28" l="1"/>
  <c r="E227" i="33" s="1"/>
  <c r="K1112" i="22"/>
  <c r="F253" i="28"/>
  <c r="K5" i="22"/>
  <c r="K6" i="22"/>
  <c r="K7" i="22"/>
  <c r="K8" i="22"/>
  <c r="K9" i="22"/>
  <c r="K10" i="22"/>
  <c r="K33" i="22" s="1"/>
  <c r="K11" i="22"/>
  <c r="K12" i="22"/>
  <c r="K13" i="22"/>
  <c r="K14" i="22"/>
  <c r="K15" i="22"/>
  <c r="K16" i="22"/>
  <c r="K17" i="22"/>
  <c r="K18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8" i="22"/>
  <c r="K39" i="22"/>
  <c r="K40" i="22"/>
  <c r="K42" i="22"/>
  <c r="K43" i="22"/>
  <c r="K45" i="22"/>
  <c r="K49" i="22"/>
  <c r="K50" i="22"/>
  <c r="K52" i="22"/>
  <c r="K53" i="22"/>
  <c r="K54" i="22"/>
  <c r="K55" i="22"/>
  <c r="K59" i="22"/>
  <c r="K60" i="22"/>
  <c r="K61" i="22"/>
  <c r="K62" i="22"/>
  <c r="K63" i="22"/>
  <c r="K64" i="22"/>
  <c r="K65" i="22"/>
  <c r="K66" i="22"/>
  <c r="K70" i="22"/>
  <c r="K75" i="22"/>
  <c r="K76" i="22"/>
  <c r="K77" i="22"/>
  <c r="K78" i="22"/>
  <c r="K82" i="22"/>
  <c r="K83" i="22"/>
  <c r="K84" i="22"/>
  <c r="K85" i="22"/>
  <c r="K89" i="22"/>
  <c r="K90" i="22"/>
  <c r="K91" i="22"/>
  <c r="K92" i="22"/>
  <c r="K94" i="22"/>
  <c r="K95" i="22"/>
  <c r="K96" i="22"/>
  <c r="K97" i="22"/>
  <c r="K101" i="22"/>
  <c r="K102" i="22"/>
  <c r="K104" i="22"/>
  <c r="K105" i="22"/>
  <c r="K111" i="22"/>
  <c r="K114" i="22"/>
  <c r="K118" i="22"/>
  <c r="K119" i="22"/>
  <c r="K121" i="22"/>
  <c r="K122" i="22"/>
  <c r="K124" i="22"/>
  <c r="K125" i="22"/>
  <c r="K126" i="22"/>
  <c r="K128" i="22"/>
  <c r="K129" i="22"/>
  <c r="K132" i="22"/>
  <c r="K133" i="22"/>
  <c r="K135" i="22"/>
  <c r="K136" i="22"/>
  <c r="K137" i="22"/>
  <c r="K138" i="22"/>
  <c r="K142" i="22"/>
  <c r="K143" i="22"/>
  <c r="K145" i="22"/>
  <c r="K146" i="22"/>
  <c r="K155" i="22"/>
  <c r="K156" i="22"/>
  <c r="K158" i="22"/>
  <c r="K159" i="22"/>
  <c r="K160" i="22"/>
  <c r="K161" i="22"/>
  <c r="K162" i="22"/>
  <c r="K163" i="22"/>
  <c r="K167" i="22"/>
  <c r="K168" i="22"/>
  <c r="K169" i="22"/>
  <c r="K170" i="22"/>
  <c r="K172" i="22"/>
  <c r="K173" i="22"/>
  <c r="K174" i="22"/>
  <c r="K175" i="22"/>
  <c r="K179" i="22"/>
  <c r="K180" i="22"/>
  <c r="K182" i="22"/>
  <c r="K183" i="22"/>
  <c r="K186" i="22"/>
  <c r="K187" i="22"/>
  <c r="K189" i="22"/>
  <c r="K190" i="22"/>
  <c r="K192" i="22"/>
  <c r="K193" i="22"/>
  <c r="K195" i="22"/>
  <c r="K196" i="22"/>
  <c r="K198" i="22"/>
  <c r="K199" i="22"/>
  <c r="K205" i="22"/>
  <c r="K206" i="22"/>
  <c r="K208" i="22"/>
  <c r="K209" i="22"/>
  <c r="K211" i="22"/>
  <c r="K212" i="22"/>
  <c r="K221" i="22"/>
  <c r="K222" i="22"/>
  <c r="K224" i="22"/>
  <c r="K226" i="22"/>
  <c r="K227" i="22"/>
  <c r="K230" i="22"/>
  <c r="K231" i="22"/>
  <c r="K232" i="22"/>
  <c r="K233" i="22"/>
  <c r="K235" i="22"/>
  <c r="K236" i="22"/>
  <c r="K239" i="22"/>
  <c r="K240" i="22"/>
  <c r="K241" i="22"/>
  <c r="K242" i="22"/>
  <c r="K247" i="22"/>
  <c r="K248" i="22"/>
  <c r="K249" i="22"/>
  <c r="K250" i="22"/>
  <c r="K255" i="22"/>
  <c r="K257" i="22"/>
  <c r="K258" i="22"/>
  <c r="K259" i="22"/>
  <c r="K260" i="22"/>
  <c r="K264" i="22"/>
  <c r="K265" i="22"/>
  <c r="K267" i="22"/>
  <c r="K268" i="22"/>
  <c r="K270" i="22"/>
  <c r="K271" i="22"/>
  <c r="K273" i="22"/>
  <c r="K274" i="22"/>
  <c r="K276" i="22"/>
  <c r="K277" i="22"/>
  <c r="K283" i="22"/>
  <c r="K284" i="22"/>
  <c r="K285" i="22"/>
  <c r="K286" i="22"/>
  <c r="K290" i="22"/>
  <c r="K291" i="22"/>
  <c r="K292" i="22"/>
  <c r="K294" i="22"/>
  <c r="K295" i="22"/>
  <c r="K296" i="22"/>
  <c r="K299" i="22"/>
  <c r="K300" i="22"/>
  <c r="K301" i="22"/>
  <c r="K302" i="22"/>
  <c r="K306" i="22"/>
  <c r="K307" i="22"/>
  <c r="K334" i="22"/>
  <c r="K335" i="22" s="1"/>
  <c r="K336" i="22"/>
  <c r="K337" i="22"/>
  <c r="K340" i="22"/>
  <c r="K341" i="22"/>
  <c r="K343" i="22"/>
  <c r="K344" i="22"/>
  <c r="K346" i="22"/>
  <c r="K347" i="22" s="1"/>
  <c r="K348" i="22"/>
  <c r="K349" i="22"/>
  <c r="K352" i="22"/>
  <c r="K353" i="22"/>
  <c r="K355" i="22"/>
  <c r="K356" i="22"/>
  <c r="K358" i="22"/>
  <c r="K359" i="22"/>
  <c r="K361" i="22"/>
  <c r="K362" i="22"/>
  <c r="K364" i="22"/>
  <c r="K365" i="22"/>
  <c r="K366" i="22"/>
  <c r="K367" i="22"/>
  <c r="K368" i="22"/>
  <c r="K370" i="22"/>
  <c r="K371" i="22"/>
  <c r="K373" i="22"/>
  <c r="K374" i="22"/>
  <c r="K376" i="22"/>
  <c r="K377" i="22"/>
  <c r="K378" i="22"/>
  <c r="K379" i="22"/>
  <c r="K380" i="22"/>
  <c r="K381" i="22"/>
  <c r="K382" i="22"/>
  <c r="K386" i="22"/>
  <c r="K387" i="22"/>
  <c r="K389" i="22"/>
  <c r="K390" i="22"/>
  <c r="K392" i="22"/>
  <c r="K393" i="22"/>
  <c r="K407" i="22"/>
  <c r="K408" i="22"/>
  <c r="K410" i="22"/>
  <c r="K411" i="22"/>
  <c r="K430" i="22"/>
  <c r="K431" i="22"/>
  <c r="K432" i="22"/>
  <c r="K433" i="22"/>
  <c r="K434" i="22"/>
  <c r="K435" i="22"/>
  <c r="K436" i="22"/>
  <c r="K437" i="22"/>
  <c r="K438" i="22"/>
  <c r="K440" i="22"/>
  <c r="K441" i="22"/>
  <c r="K442" i="22"/>
  <c r="K445" i="22"/>
  <c r="K446" i="22"/>
  <c r="K447" i="22"/>
  <c r="K448" i="22"/>
  <c r="K449" i="22"/>
  <c r="K452" i="22"/>
  <c r="K453" i="22"/>
  <c r="K455" i="22"/>
  <c r="K456" i="22"/>
  <c r="K458" i="22"/>
  <c r="K459" i="22"/>
  <c r="K461" i="22"/>
  <c r="K462" i="22"/>
  <c r="K464" i="22"/>
  <c r="K467" i="22" s="1"/>
  <c r="K465" i="22"/>
  <c r="K466" i="22"/>
  <c r="K470" i="22"/>
  <c r="K471" i="22"/>
  <c r="K472" i="22"/>
  <c r="K473" i="22"/>
  <c r="K477" i="22"/>
  <c r="K478" i="22"/>
  <c r="K480" i="22"/>
  <c r="K481" i="22"/>
  <c r="K484" i="22"/>
  <c r="K485" i="22"/>
  <c r="K489" i="22"/>
  <c r="K490" i="22"/>
  <c r="K492" i="22"/>
  <c r="K493" i="22"/>
  <c r="K495" i="22"/>
  <c r="K496" i="22"/>
  <c r="K497" i="22"/>
  <c r="K498" i="22"/>
  <c r="K500" i="22"/>
  <c r="K501" i="22"/>
  <c r="K502" i="22"/>
  <c r="K503" i="22"/>
  <c r="K506" i="22"/>
  <c r="K507" i="22"/>
  <c r="K509" i="22"/>
  <c r="K510" i="22"/>
  <c r="K512" i="22"/>
  <c r="K513" i="22"/>
  <c r="K514" i="22"/>
  <c r="K515" i="22"/>
  <c r="K517" i="22"/>
  <c r="K518" i="22"/>
  <c r="K522" i="22"/>
  <c r="K523" i="22"/>
  <c r="K525" i="22"/>
  <c r="K526" i="22"/>
  <c r="K527" i="22"/>
  <c r="K528" i="22"/>
  <c r="K530" i="22"/>
  <c r="K531" i="22"/>
  <c r="K533" i="22"/>
  <c r="K534" i="22"/>
  <c r="K538" i="22"/>
  <c r="K539" i="22"/>
  <c r="K540" i="22"/>
  <c r="K541" i="22"/>
  <c r="K542" i="22"/>
  <c r="K543" i="22"/>
  <c r="K544" i="22"/>
  <c r="K545" i="22"/>
  <c r="K552" i="22"/>
  <c r="K553" i="22"/>
  <c r="K555" i="22"/>
  <c r="K556" i="22"/>
  <c r="K558" i="22"/>
  <c r="K559" i="22"/>
  <c r="K561" i="22"/>
  <c r="K562" i="22"/>
  <c r="K565" i="22"/>
  <c r="K566" i="22"/>
  <c r="K568" i="22"/>
  <c r="K569" i="22"/>
  <c r="K570" i="22"/>
  <c r="K573" i="22"/>
  <c r="K574" i="22"/>
  <c r="K575" i="22"/>
  <c r="K576" i="22"/>
  <c r="K577" i="22"/>
  <c r="K578" i="22"/>
  <c r="K579" i="22"/>
  <c r="K580" i="22"/>
  <c r="K582" i="22"/>
  <c r="K583" i="22"/>
  <c r="K584" i="22"/>
  <c r="K585" i="22"/>
  <c r="K588" i="22"/>
  <c r="K589" i="22"/>
  <c r="K591" i="22"/>
  <c r="K592" i="22"/>
  <c r="K593" i="22"/>
  <c r="K594" i="22"/>
  <c r="K596" i="22"/>
  <c r="K597" i="22"/>
  <c r="K599" i="22"/>
  <c r="K601" i="22" s="1"/>
  <c r="K600" i="22"/>
  <c r="K602" i="22" s="1"/>
  <c r="K604" i="22"/>
  <c r="K605" i="22"/>
  <c r="K606" i="22"/>
  <c r="K607" i="22"/>
  <c r="K608" i="22"/>
  <c r="K619" i="22"/>
  <c r="K620" i="22"/>
  <c r="K621" i="22"/>
  <c r="K622" i="22"/>
  <c r="K624" i="22"/>
  <c r="K625" i="22"/>
  <c r="K626" i="22"/>
  <c r="K627" i="22"/>
  <c r="K635" i="22"/>
  <c r="K636" i="22"/>
  <c r="K638" i="22"/>
  <c r="K639" i="22"/>
  <c r="K640" i="22"/>
  <c r="K642" i="22"/>
  <c r="K645" i="22"/>
  <c r="K646" i="22"/>
  <c r="K647" i="22"/>
  <c r="K648" i="22"/>
  <c r="K649" i="22"/>
  <c r="K650" i="22"/>
  <c r="K651" i="22"/>
  <c r="K654" i="22"/>
  <c r="K655" i="22"/>
  <c r="K656" i="22"/>
  <c r="K657" i="22"/>
  <c r="K658" i="22"/>
  <c r="K659" i="22"/>
  <c r="K663" i="22"/>
  <c r="K664" i="22"/>
  <c r="K666" i="22"/>
  <c r="K667" i="22"/>
  <c r="K669" i="22"/>
  <c r="K670" i="22"/>
  <c r="K672" i="22"/>
  <c r="K673" i="22"/>
  <c r="K675" i="22"/>
  <c r="K676" i="22"/>
  <c r="K677" i="22"/>
  <c r="K678" i="22"/>
  <c r="K682" i="22"/>
  <c r="K683" i="22"/>
  <c r="K685" i="22"/>
  <c r="K686" i="22"/>
  <c r="K689" i="22"/>
  <c r="K691" i="22" s="1"/>
  <c r="K690" i="22"/>
  <c r="K692" i="22" s="1"/>
  <c r="K694" i="22"/>
  <c r="K695" i="22"/>
  <c r="K698" i="22"/>
  <c r="K699" i="22"/>
  <c r="K704" i="22"/>
  <c r="K705" i="22"/>
  <c r="K707" i="22"/>
  <c r="K708" i="22"/>
  <c r="K709" i="22"/>
  <c r="K710" i="22"/>
  <c r="K713" i="22"/>
  <c r="K714" i="22"/>
  <c r="K716" i="22"/>
  <c r="K717" i="22"/>
  <c r="K718" i="22"/>
  <c r="K719" i="22"/>
  <c r="K723" i="22"/>
  <c r="K724" i="22"/>
  <c r="K725" i="22"/>
  <c r="K726" i="22"/>
  <c r="K730" i="22"/>
  <c r="K731" i="22"/>
  <c r="K733" i="22"/>
  <c r="K734" i="22"/>
  <c r="K736" i="22"/>
  <c r="K737" i="22"/>
  <c r="K739" i="22"/>
  <c r="K740" i="22"/>
  <c r="K742" i="22"/>
  <c r="K743" i="22"/>
  <c r="K747" i="22"/>
  <c r="K749" i="22"/>
  <c r="K750" i="22"/>
  <c r="K755" i="22"/>
  <c r="K756" i="22"/>
  <c r="K758" i="22"/>
  <c r="K759" i="22"/>
  <c r="K762" i="22"/>
  <c r="K763" i="22"/>
  <c r="K765" i="22"/>
  <c r="K766" i="22"/>
  <c r="K767" i="22"/>
  <c r="K768" i="22"/>
  <c r="K769" i="22"/>
  <c r="K770" i="22"/>
  <c r="K773" i="22"/>
  <c r="K774" i="22"/>
  <c r="K776" i="22"/>
  <c r="K777" i="22" s="1"/>
  <c r="K778" i="22"/>
  <c r="K779" i="22"/>
  <c r="K782" i="22"/>
  <c r="K783" i="22"/>
  <c r="K784" i="22"/>
  <c r="K787" i="22"/>
  <c r="K789" i="22" s="1"/>
  <c r="K788" i="22"/>
  <c r="K790" i="22" s="1"/>
  <c r="K792" i="22"/>
  <c r="K793" i="22"/>
  <c r="K795" i="22"/>
  <c r="K796" i="22"/>
  <c r="K797" i="22"/>
  <c r="K799" i="22"/>
  <c r="K800" i="22"/>
  <c r="G46" i="28" s="1"/>
  <c r="K802" i="22"/>
  <c r="K803" i="22"/>
  <c r="K804" i="22"/>
  <c r="K805" i="22"/>
  <c r="K806" i="22"/>
  <c r="K807" i="22"/>
  <c r="K808" i="22"/>
  <c r="K810" i="22"/>
  <c r="K811" i="22"/>
  <c r="K813" i="22"/>
  <c r="K814" i="22"/>
  <c r="K815" i="22"/>
  <c r="K817" i="22"/>
  <c r="K818" i="22"/>
  <c r="K819" i="22"/>
  <c r="K821" i="22"/>
  <c r="K822" i="22"/>
  <c r="K824" i="22"/>
  <c r="K825" i="22"/>
  <c r="K827" i="22"/>
  <c r="K828" i="22"/>
  <c r="K830" i="22"/>
  <c r="K831" i="22"/>
  <c r="K832" i="22"/>
  <c r="K833" i="22"/>
  <c r="K834" i="22"/>
  <c r="K835" i="22"/>
  <c r="K839" i="22"/>
  <c r="K840" i="22"/>
  <c r="K842" i="22"/>
  <c r="K844" i="22" s="1"/>
  <c r="K845" i="22"/>
  <c r="K846" i="22"/>
  <c r="K848" i="22"/>
  <c r="K849" i="22"/>
  <c r="K851" i="22"/>
  <c r="K852" i="22"/>
  <c r="K853" i="22"/>
  <c r="K854" i="22"/>
  <c r="K856" i="22"/>
  <c r="K857" i="22"/>
  <c r="K860" i="22"/>
  <c r="K861" i="22"/>
  <c r="K862" i="22"/>
  <c r="K863" i="22"/>
  <c r="K865" i="22"/>
  <c r="K866" i="22"/>
  <c r="K869" i="22"/>
  <c r="K870" i="22"/>
  <c r="K874" i="22"/>
  <c r="K877" i="22"/>
  <c r="K878" i="22"/>
  <c r="K880" i="22" s="1"/>
  <c r="K887" i="22"/>
  <c r="K888" i="22"/>
  <c r="K902" i="22"/>
  <c r="K903" i="22"/>
  <c r="K905" i="22"/>
  <c r="K906" i="22"/>
  <c r="K907" i="22"/>
  <c r="K909" i="22"/>
  <c r="K910" i="22"/>
  <c r="K911" i="22"/>
  <c r="K914" i="22"/>
  <c r="K915" i="22"/>
  <c r="K917" i="22"/>
  <c r="K918" i="22"/>
  <c r="K921" i="22"/>
  <c r="K922" i="22" s="1"/>
  <c r="K923" i="22"/>
  <c r="K924" i="22"/>
  <c r="K927" i="22"/>
  <c r="K928" i="22" s="1"/>
  <c r="K929" i="22"/>
  <c r="K930" i="22"/>
  <c r="K933" i="22"/>
  <c r="K934" i="22"/>
  <c r="K935" i="22"/>
  <c r="K937" i="22"/>
  <c r="K938" i="22"/>
  <c r="K939" i="22"/>
  <c r="K942" i="22"/>
  <c r="K943" i="22" s="1"/>
  <c r="K944" i="22"/>
  <c r="K945" i="22" s="1"/>
  <c r="K947" i="22"/>
  <c r="K948" i="22"/>
  <c r="K950" i="22"/>
  <c r="K951" i="22"/>
  <c r="K954" i="22"/>
  <c r="K955" i="22"/>
  <c r="K957" i="22"/>
  <c r="K958" i="22"/>
  <c r="K959" i="22"/>
  <c r="K962" i="22"/>
  <c r="K963" i="22" s="1"/>
  <c r="K964" i="22"/>
  <c r="K965" i="22" s="1"/>
  <c r="K967" i="22"/>
  <c r="K968" i="22"/>
  <c r="K969" i="22"/>
  <c r="K971" i="22"/>
  <c r="K972" i="22"/>
  <c r="K973" i="22"/>
  <c r="K976" i="22"/>
  <c r="K977" i="22"/>
  <c r="K979" i="22"/>
  <c r="K980" i="22"/>
  <c r="K983" i="22"/>
  <c r="K984" i="22"/>
  <c r="K986" i="22"/>
  <c r="K987" i="22"/>
  <c r="K994" i="22"/>
  <c r="K995" i="22"/>
  <c r="K997" i="22"/>
  <c r="K998" i="22"/>
  <c r="K1000" i="22"/>
  <c r="K1001" i="22"/>
  <c r="K1006" i="22"/>
  <c r="K1007" i="22"/>
  <c r="K1008" i="22"/>
  <c r="K1010" i="22"/>
  <c r="K1011" i="22"/>
  <c r="K1012" i="22"/>
  <c r="K1013" i="22"/>
  <c r="K1016" i="22"/>
  <c r="K1017" i="22"/>
  <c r="K1018" i="22"/>
  <c r="K1019" i="22"/>
  <c r="K1020" i="22"/>
  <c r="K1021" i="22"/>
  <c r="K1025" i="22"/>
  <c r="K1028" i="22"/>
  <c r="K1031" i="22" s="1"/>
  <c r="K1032" i="22"/>
  <c r="K1033" i="22" s="1"/>
  <c r="K1040" i="22"/>
  <c r="K1042" i="22"/>
  <c r="K1044" i="22"/>
  <c r="K1045" i="22"/>
  <c r="K1046" i="22"/>
  <c r="K1048" i="22"/>
  <c r="K1049" i="22" s="1"/>
  <c r="K1051" i="22"/>
  <c r="K1052" i="22"/>
  <c r="K1053" i="22"/>
  <c r="K1055" i="22"/>
  <c r="K1056" i="22"/>
  <c r="K1057" i="22"/>
  <c r="K1060" i="22"/>
  <c r="K1061" i="22"/>
  <c r="H45" i="28" l="1"/>
  <c r="K74" i="22"/>
  <c r="F235" i="28"/>
  <c r="K51" i="22"/>
  <c r="K261" i="22"/>
  <c r="K99" i="22"/>
  <c r="K80" i="22"/>
  <c r="K57" i="22"/>
  <c r="K204" i="22"/>
  <c r="K925" i="22"/>
  <c r="K926" i="22" s="1"/>
  <c r="H253" i="28"/>
  <c r="F227" i="33" s="1"/>
  <c r="D227" i="33"/>
  <c r="K809" i="22"/>
  <c r="K194" i="22"/>
  <c r="K120" i="22"/>
  <c r="K157" i="22"/>
  <c r="K103" i="22"/>
  <c r="K107" i="22" s="1"/>
  <c r="K735" i="22"/>
  <c r="K487" i="22"/>
  <c r="K637" i="22"/>
  <c r="K563" i="22"/>
  <c r="K532" i="22"/>
  <c r="K524" i="22"/>
  <c r="K504" i="22"/>
  <c r="K486" i="22"/>
  <c r="K350" i="22"/>
  <c r="K272" i="22"/>
  <c r="K139" i="22"/>
  <c r="K679" i="22"/>
  <c r="K303" i="22"/>
  <c r="K127" i="22"/>
  <c r="K820" i="22"/>
  <c r="K812" i="22"/>
  <c r="K671" i="22"/>
  <c r="K474" i="22"/>
  <c r="K342" i="22"/>
  <c r="K680" i="22"/>
  <c r="K499" i="22"/>
  <c r="K252" i="22"/>
  <c r="K98" i="22"/>
  <c r="K79" i="22"/>
  <c r="K836" i="22"/>
  <c r="K454" i="22"/>
  <c r="K375" i="22"/>
  <c r="K278" i="22"/>
  <c r="K181" i="22"/>
  <c r="K1022" i="22"/>
  <c r="K823" i="22"/>
  <c r="K801" i="22"/>
  <c r="K780" i="22"/>
  <c r="K781" i="22" s="1"/>
  <c r="K696" i="22"/>
  <c r="K684" i="22"/>
  <c r="K674" i="22"/>
  <c r="K491" i="22"/>
  <c r="K479" i="22"/>
  <c r="K460" i="22"/>
  <c r="K345" i="22"/>
  <c r="K116" i="22"/>
  <c r="K946" i="22"/>
  <c r="K1054" i="22"/>
  <c r="K981" i="22"/>
  <c r="K867" i="22"/>
  <c r="K858" i="22"/>
  <c r="K850" i="22"/>
  <c r="K760" i="22"/>
  <c r="K728" i="22"/>
  <c r="K567" i="22"/>
  <c r="K557" i="22"/>
  <c r="K363" i="22"/>
  <c r="K266" i="22"/>
  <c r="K223" i="22"/>
  <c r="K207" i="22"/>
  <c r="K956" i="22"/>
  <c r="K1047" i="22"/>
  <c r="K1050" i="22" s="1"/>
  <c r="K1023" i="22"/>
  <c r="K744" i="22"/>
  <c r="K826" i="22"/>
  <c r="K668" i="22"/>
  <c r="K741" i="22"/>
  <c r="K700" i="22"/>
  <c r="K687" i="22"/>
  <c r="K999" i="22"/>
  <c r="K985" i="22"/>
  <c r="K974" i="22"/>
  <c r="K931" i="22"/>
  <c r="K932" i="22" s="1"/>
  <c r="K912" i="22"/>
  <c r="K871" i="22"/>
  <c r="K764" i="22"/>
  <c r="K665" i="22"/>
  <c r="K586" i="22"/>
  <c r="K494" i="22"/>
  <c r="K412" i="22"/>
  <c r="K391" i="22"/>
  <c r="K357" i="22"/>
  <c r="K304" i="22"/>
  <c r="K383" i="22"/>
  <c r="K68" i="22"/>
  <c r="K978" i="22"/>
  <c r="K949" i="22"/>
  <c r="K919" i="22"/>
  <c r="K908" i="22"/>
  <c r="K889" i="22"/>
  <c r="K816" i="22"/>
  <c r="K629" i="22"/>
  <c r="K520" i="22"/>
  <c r="K394" i="22"/>
  <c r="K384" i="22"/>
  <c r="K308" i="22"/>
  <c r="K297" i="22"/>
  <c r="K269" i="22"/>
  <c r="K244" i="22"/>
  <c r="K210" i="22"/>
  <c r="K164" i="22"/>
  <c r="K519" i="22"/>
  <c r="K140" i="22"/>
  <c r="K87" i="22"/>
  <c r="K936" i="22"/>
  <c r="K916" i="22"/>
  <c r="K920" i="22" s="1"/>
  <c r="K535" i="22"/>
  <c r="K516" i="22"/>
  <c r="K508" i="22"/>
  <c r="K293" i="22"/>
  <c r="K251" i="22"/>
  <c r="K165" i="22"/>
  <c r="K144" i="22"/>
  <c r="K1062" i="22"/>
  <c r="K996" i="22"/>
  <c r="K960" i="22"/>
  <c r="K864" i="22"/>
  <c r="K791" i="22"/>
  <c r="K595" i="22"/>
  <c r="K409" i="22"/>
  <c r="K388" i="22"/>
  <c r="K184" i="22"/>
  <c r="K86" i="22"/>
  <c r="K988" i="22"/>
  <c r="K966" i="22"/>
  <c r="K940" i="22"/>
  <c r="K847" i="22"/>
  <c r="K829" i="22"/>
  <c r="K794" i="22"/>
  <c r="K732" i="22"/>
  <c r="K720" i="22"/>
  <c r="K660" i="22"/>
  <c r="K590" i="22"/>
  <c r="K511" i="22"/>
  <c r="K475" i="22"/>
  <c r="K457" i="22"/>
  <c r="K354" i="22"/>
  <c r="K287" i="22"/>
  <c r="K243" i="22"/>
  <c r="K234" i="22"/>
  <c r="K67" i="22"/>
  <c r="K44" i="22"/>
  <c r="K19" i="22"/>
  <c r="K1014" i="22"/>
  <c r="K855" i="22"/>
  <c r="K771" i="22"/>
  <c r="K738" i="22"/>
  <c r="K721" i="22"/>
  <c r="K661" i="22"/>
  <c r="K547" i="22"/>
  <c r="K482" i="22"/>
  <c r="K360" i="22"/>
  <c r="K288" i="22"/>
  <c r="K262" i="22"/>
  <c r="K177" i="22"/>
  <c r="K200" i="22"/>
  <c r="K191" i="22"/>
  <c r="K171" i="22"/>
  <c r="K134" i="22"/>
  <c r="K93" i="22"/>
  <c r="K711" i="22"/>
  <c r="K609" i="22"/>
  <c r="K546" i="22"/>
  <c r="K369" i="22"/>
  <c r="K176" i="22"/>
  <c r="K1058" i="22"/>
  <c r="K1002" i="22"/>
  <c r="K970" i="22"/>
  <c r="K952" i="22"/>
  <c r="K904" i="22"/>
  <c r="K837" i="22"/>
  <c r="K775" i="22"/>
  <c r="K751" i="22"/>
  <c r="K652" i="22"/>
  <c r="K554" i="22"/>
  <c r="K529" i="22"/>
  <c r="K372" i="22"/>
  <c r="K351" i="22"/>
  <c r="K275" i="22"/>
  <c r="K213" i="22"/>
  <c r="K197" i="22"/>
  <c r="K188" i="22"/>
  <c r="K147" i="22"/>
  <c r="K106" i="22"/>
  <c r="K108" i="22" s="1"/>
  <c r="K841" i="22"/>
  <c r="K798" i="22"/>
  <c r="K757" i="22"/>
  <c r="K727" i="22"/>
  <c r="K715" i="22"/>
  <c r="K644" i="22"/>
  <c r="K560" i="22"/>
  <c r="K536" i="22"/>
  <c r="K468" i="22"/>
  <c r="K469" i="22" s="1"/>
  <c r="K439" i="22"/>
  <c r="K338" i="22"/>
  <c r="K339" i="22" s="1"/>
  <c r="K237" i="22"/>
  <c r="K228" i="22"/>
  <c r="K229" i="22" s="1"/>
  <c r="K130" i="22"/>
  <c r="K123" i="22"/>
  <c r="K56" i="22"/>
  <c r="K58" i="22" s="1"/>
  <c r="K693" i="22"/>
  <c r="K603" i="22"/>
  <c r="K1034" i="22"/>
  <c r="H1077" i="22"/>
  <c r="K1077" i="22" s="1"/>
  <c r="F186" i="33" l="1"/>
  <c r="K263" i="22"/>
  <c r="K564" i="22"/>
  <c r="K81" i="22"/>
  <c r="K100" i="22"/>
  <c r="K305" i="22"/>
  <c r="K476" i="22"/>
  <c r="K483" i="22"/>
  <c r="K505" i="22"/>
  <c r="K1024" i="22"/>
  <c r="K488" i="22"/>
  <c r="K761" i="22"/>
  <c r="K131" i="22"/>
  <c r="K537" i="22"/>
  <c r="K185" i="22"/>
  <c r="K838" i="22"/>
  <c r="K688" i="22"/>
  <c r="K109" i="22"/>
  <c r="K141" i="22"/>
  <c r="K88" i="22"/>
  <c r="K298" i="22"/>
  <c r="K961" i="22"/>
  <c r="K681" i="22"/>
  <c r="K653" i="22"/>
  <c r="K548" i="22"/>
  <c r="K913" i="22"/>
  <c r="K385" i="22"/>
  <c r="K989" i="22"/>
  <c r="K201" i="22"/>
  <c r="K178" i="22"/>
  <c r="K868" i="22"/>
  <c r="K253" i="22"/>
  <c r="K166" i="22"/>
  <c r="K975" i="22"/>
  <c r="K69" i="22"/>
  <c r="K729" i="22"/>
  <c r="K463" i="22"/>
  <c r="K941" i="22"/>
  <c r="K982" i="22"/>
  <c r="K722" i="22"/>
  <c r="K1059" i="22"/>
  <c r="K953" i="22"/>
  <c r="K245" i="22"/>
  <c r="K521" i="22"/>
  <c r="K48" i="22"/>
  <c r="K662" i="22"/>
  <c r="K289" i="22"/>
  <c r="K238" i="22"/>
  <c r="D24" i="23"/>
  <c r="K990" i="22" l="1"/>
  <c r="E47" i="23"/>
  <c r="E33" i="23" l="1"/>
  <c r="D50" i="23" l="1"/>
  <c r="G163" i="33" l="1"/>
  <c r="C163" i="33"/>
  <c r="G191" i="28"/>
  <c r="E163" i="33" s="1"/>
  <c r="H857" i="22"/>
  <c r="H856" i="22"/>
  <c r="F191" i="28" l="1"/>
  <c r="H1003" i="22"/>
  <c r="K1003" i="22" s="1"/>
  <c r="H1004" i="22"/>
  <c r="K1004" i="22" s="1"/>
  <c r="H191" i="28" l="1"/>
  <c r="F163" i="33" s="1"/>
  <c r="H163" i="33" s="1"/>
  <c r="D163" i="33"/>
  <c r="O1003" i="22"/>
  <c r="H853" i="22"/>
  <c r="H854" i="22"/>
  <c r="C854" i="22"/>
  <c r="T1004" i="22" l="1"/>
  <c r="T1005" i="22"/>
  <c r="T1006" i="22"/>
  <c r="T1007" i="22"/>
  <c r="T1008" i="22"/>
  <c r="T1003" i="22"/>
  <c r="S1004" i="22"/>
  <c r="S1005" i="22"/>
  <c r="S1006" i="22"/>
  <c r="S1007" i="22"/>
  <c r="S1008" i="22"/>
  <c r="S1003" i="22"/>
  <c r="E23" i="23" l="1"/>
  <c r="F23" i="23" s="1"/>
  <c r="D35" i="23"/>
  <c r="C200" i="33" l="1"/>
  <c r="H984" i="22" l="1"/>
  <c r="H986" i="22"/>
  <c r="H987" i="22"/>
  <c r="H983" i="22"/>
  <c r="G101" i="28" l="1"/>
  <c r="E200" i="33" s="1"/>
  <c r="F101" i="28"/>
  <c r="J230" i="33"/>
  <c r="H1037" i="22"/>
  <c r="K1037" i="22" s="1"/>
  <c r="D200" i="33" l="1"/>
  <c r="H101" i="28"/>
  <c r="F200" i="33" s="1"/>
  <c r="G162" i="33"/>
  <c r="C162" i="33"/>
  <c r="G112" i="28"/>
  <c r="F112" i="28"/>
  <c r="H851" i="22"/>
  <c r="H852" i="22"/>
  <c r="E162" i="33" l="1"/>
  <c r="H112" i="28"/>
  <c r="D162" i="33"/>
  <c r="G216" i="33"/>
  <c r="C216" i="33"/>
  <c r="G217" i="33"/>
  <c r="A78" i="28"/>
  <c r="A79" i="28" s="1"/>
  <c r="H1036" i="22"/>
  <c r="K1036" i="22" s="1"/>
  <c r="H1035" i="22"/>
  <c r="K1035" i="22" s="1"/>
  <c r="K1038" i="22" l="1"/>
  <c r="G78" i="28"/>
  <c r="F162" i="33"/>
  <c r="H162" i="33" s="1"/>
  <c r="R1016" i="22"/>
  <c r="F78" i="28" l="1"/>
  <c r="D216" i="33" s="1"/>
  <c r="E216" i="33"/>
  <c r="H78" i="28" l="1"/>
  <c r="F216" i="33" s="1"/>
  <c r="J216" i="33" s="1"/>
  <c r="G16" i="33"/>
  <c r="C16" i="33"/>
  <c r="E16" i="33"/>
  <c r="H70" i="22"/>
  <c r="D12" i="37"/>
  <c r="E11" i="37"/>
  <c r="C10" i="37"/>
  <c r="E10" i="37" s="1"/>
  <c r="E8" i="37"/>
  <c r="E9" i="37"/>
  <c r="E7" i="37"/>
  <c r="E6" i="37"/>
  <c r="H235" i="28" l="1"/>
  <c r="F16" i="33" s="1"/>
  <c r="D16" i="33"/>
  <c r="H16" i="33" l="1"/>
  <c r="J16" i="33"/>
  <c r="H613" i="22" l="1"/>
  <c r="K613" i="22" s="1"/>
  <c r="G71" i="33" l="1"/>
  <c r="G72" i="33"/>
  <c r="G70" i="33"/>
  <c r="G48" i="33"/>
  <c r="G49" i="33"/>
  <c r="G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67" i="33"/>
  <c r="G68" i="33"/>
  <c r="G69" i="33"/>
  <c r="G47" i="33"/>
  <c r="G218" i="33" l="1"/>
  <c r="G219" i="33"/>
  <c r="G220" i="33"/>
  <c r="G221" i="33"/>
  <c r="G222" i="33"/>
  <c r="G223" i="33"/>
  <c r="G224" i="33"/>
  <c r="G225" i="33"/>
  <c r="G226" i="33"/>
  <c r="G228" i="33"/>
  <c r="G204" i="33"/>
  <c r="G205" i="33"/>
  <c r="G206" i="33"/>
  <c r="G207" i="33"/>
  <c r="G208" i="33"/>
  <c r="G209" i="33"/>
  <c r="G210" i="33"/>
  <c r="G212" i="33"/>
  <c r="G190" i="33"/>
  <c r="G191" i="33"/>
  <c r="G192" i="33"/>
  <c r="G193" i="33"/>
  <c r="G194" i="33"/>
  <c r="G195" i="33"/>
  <c r="G196" i="33"/>
  <c r="G197" i="33"/>
  <c r="G198" i="33"/>
  <c r="G199" i="33"/>
  <c r="G176" i="33"/>
  <c r="G177" i="33"/>
  <c r="G178" i="33"/>
  <c r="G179" i="33"/>
  <c r="G180" i="33"/>
  <c r="G181" i="33"/>
  <c r="G182" i="33"/>
  <c r="G183" i="33"/>
  <c r="G184" i="33"/>
  <c r="G185" i="33"/>
  <c r="G167" i="33"/>
  <c r="G168" i="33"/>
  <c r="G169" i="33"/>
  <c r="G170" i="33"/>
  <c r="G171" i="33"/>
  <c r="G172" i="33"/>
  <c r="G145" i="33"/>
  <c r="G146" i="33"/>
  <c r="G147" i="33"/>
  <c r="G148" i="33"/>
  <c r="G149" i="33"/>
  <c r="G150" i="33"/>
  <c r="G151" i="33"/>
  <c r="G152" i="33"/>
  <c r="G153" i="33"/>
  <c r="G154" i="33"/>
  <c r="G155" i="33"/>
  <c r="G156" i="33"/>
  <c r="G157" i="33"/>
  <c r="G158" i="33"/>
  <c r="G159" i="33"/>
  <c r="G160" i="33"/>
  <c r="G161" i="33"/>
  <c r="G133" i="33"/>
  <c r="G134" i="33"/>
  <c r="G135" i="33"/>
  <c r="G136" i="33"/>
  <c r="G137" i="33"/>
  <c r="G138" i="33"/>
  <c r="G139" i="33"/>
  <c r="G140" i="33"/>
  <c r="G141" i="33"/>
  <c r="G113" i="33"/>
  <c r="G114" i="33"/>
  <c r="G115" i="33"/>
  <c r="G116" i="33"/>
  <c r="G117" i="33"/>
  <c r="G118" i="33"/>
  <c r="G119" i="33"/>
  <c r="G120" i="33"/>
  <c r="G121" i="33"/>
  <c r="G122" i="33"/>
  <c r="G123" i="33"/>
  <c r="G124" i="33"/>
  <c r="G125" i="33"/>
  <c r="G126" i="33"/>
  <c r="G127" i="33"/>
  <c r="G128" i="33"/>
  <c r="G129" i="33"/>
  <c r="G106" i="33"/>
  <c r="G107" i="33"/>
  <c r="G108" i="33"/>
  <c r="G109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89" i="33"/>
  <c r="G90" i="33"/>
  <c r="G91" i="33"/>
  <c r="G92" i="33"/>
  <c r="G93" i="33"/>
  <c r="G94" i="33"/>
  <c r="G95" i="33"/>
  <c r="G96" i="33"/>
  <c r="G97" i="33"/>
  <c r="G98" i="33"/>
  <c r="G99" i="33"/>
  <c r="G100" i="33"/>
  <c r="G101" i="33"/>
  <c r="G102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28" i="33"/>
  <c r="G27" i="33"/>
  <c r="G26" i="33"/>
  <c r="G25" i="33"/>
  <c r="G24" i="33"/>
  <c r="G23" i="33"/>
  <c r="G22" i="33"/>
  <c r="G21" i="33"/>
  <c r="G20" i="33"/>
  <c r="G19" i="33"/>
  <c r="G18" i="33"/>
  <c r="G17" i="33"/>
  <c r="G15" i="33"/>
  <c r="G14" i="33"/>
  <c r="G13" i="33"/>
  <c r="G12" i="33"/>
  <c r="G11" i="33"/>
  <c r="G10" i="33"/>
  <c r="G9" i="33"/>
  <c r="G8" i="33"/>
  <c r="G7" i="33"/>
  <c r="G6" i="33"/>
  <c r="G5" i="33"/>
  <c r="G4" i="33"/>
  <c r="G187" i="33" l="1"/>
  <c r="D14" i="34" s="1"/>
  <c r="G201" i="33"/>
  <c r="D15" i="34" s="1"/>
  <c r="G164" i="33"/>
  <c r="D13" i="34" s="1"/>
  <c r="G229" i="33"/>
  <c r="D17" i="34" s="1"/>
  <c r="G44" i="33"/>
  <c r="D6" i="34" s="1"/>
  <c r="E7" i="25"/>
  <c r="E8" i="25"/>
  <c r="E9" i="25"/>
  <c r="E10" i="25"/>
  <c r="E11" i="25"/>
  <c r="E12" i="25"/>
  <c r="E13" i="25"/>
  <c r="E14" i="25"/>
  <c r="H1005" i="22"/>
  <c r="K1005" i="22" s="1"/>
  <c r="K1009" i="22" s="1"/>
  <c r="K1015" i="22" s="1"/>
  <c r="H1006" i="22"/>
  <c r="H1007" i="22"/>
  <c r="H1008" i="22"/>
  <c r="H1009" i="22"/>
  <c r="H594" i="22" l="1"/>
  <c r="H593" i="22"/>
  <c r="G193" i="28"/>
  <c r="E71" i="33" s="1"/>
  <c r="H592" i="22"/>
  <c r="H591" i="22"/>
  <c r="F193" i="28" l="1"/>
  <c r="H153" i="22"/>
  <c r="D153" i="22"/>
  <c r="K153" i="22" s="1"/>
  <c r="H152" i="22"/>
  <c r="D152" i="22"/>
  <c r="K152" i="22" s="1"/>
  <c r="H151" i="22"/>
  <c r="D151" i="22"/>
  <c r="K151" i="22" s="1"/>
  <c r="H150" i="22"/>
  <c r="D150" i="22"/>
  <c r="K150" i="22" s="1"/>
  <c r="H149" i="22"/>
  <c r="D149" i="22"/>
  <c r="K149" i="22" s="1"/>
  <c r="H148" i="22"/>
  <c r="D148" i="22"/>
  <c r="E30" i="23"/>
  <c r="F30" i="23" s="1"/>
  <c r="I148" i="22" l="1"/>
  <c r="K148" i="22"/>
  <c r="K154" i="22" s="1"/>
  <c r="I153" i="22"/>
  <c r="I151" i="22"/>
  <c r="I149" i="22"/>
  <c r="D71" i="33"/>
  <c r="H193" i="28"/>
  <c r="F71" i="33" s="1"/>
  <c r="I150" i="22"/>
  <c r="I152" i="22"/>
  <c r="C31" i="33"/>
  <c r="G127" i="28"/>
  <c r="E31" i="33" s="1"/>
  <c r="H209" i="22"/>
  <c r="F127" i="28"/>
  <c r="H208" i="22"/>
  <c r="G129" i="28" l="1"/>
  <c r="F129" i="28"/>
  <c r="D29" i="33" s="1"/>
  <c r="I154" i="22"/>
  <c r="H127" i="28"/>
  <c r="F31" i="33" s="1"/>
  <c r="J31" i="33" s="1"/>
  <c r="D31" i="33"/>
  <c r="E29" i="33" l="1"/>
  <c r="H129" i="28"/>
  <c r="F29" i="33" s="1"/>
  <c r="C30" i="33"/>
  <c r="G128" i="28"/>
  <c r="E30" i="33" s="1"/>
  <c r="H211" i="22"/>
  <c r="H212" i="22"/>
  <c r="H29" i="33" l="1"/>
  <c r="J29" i="33"/>
  <c r="F128" i="28"/>
  <c r="H865" i="22"/>
  <c r="H862" i="22"/>
  <c r="H861" i="22"/>
  <c r="H863" i="22"/>
  <c r="F42" i="28" l="1"/>
  <c r="H128" i="28"/>
  <c r="F30" i="33" s="1"/>
  <c r="D30" i="33"/>
  <c r="H30" i="33" l="1"/>
  <c r="J30" i="33"/>
  <c r="H872" i="22" l="1"/>
  <c r="H873" i="22"/>
  <c r="G1118" i="22" l="1"/>
  <c r="G1119" i="22"/>
  <c r="G1120" i="22"/>
  <c r="G1121" i="22"/>
  <c r="G1122" i="22"/>
  <c r="G1123" i="22"/>
  <c r="G1124" i="22"/>
  <c r="G1125" i="22"/>
  <c r="H44" i="22" l="1"/>
  <c r="D14" i="23"/>
  <c r="H114" i="22" l="1"/>
  <c r="H1097" i="22" l="1"/>
  <c r="K1097" i="22" s="1"/>
  <c r="H626" i="22" l="1"/>
  <c r="H627" i="22"/>
  <c r="C99" i="33" l="1"/>
  <c r="C102" i="33"/>
  <c r="H424" i="22"/>
  <c r="H423" i="22"/>
  <c r="K423" i="22" s="1"/>
  <c r="H427" i="22"/>
  <c r="K427" i="22" s="1"/>
  <c r="H426" i="22"/>
  <c r="K426" i="22" s="1"/>
  <c r="K428" i="22" l="1"/>
  <c r="K424" i="22"/>
  <c r="K425" i="22" s="1"/>
  <c r="G185" i="28"/>
  <c r="E102" i="33" s="1"/>
  <c r="F185" i="28"/>
  <c r="F248" i="28"/>
  <c r="D99" i="33" s="1"/>
  <c r="C26" i="24"/>
  <c r="C27" i="24" s="1"/>
  <c r="E45" i="23"/>
  <c r="F45" i="23" s="1"/>
  <c r="G248" i="28" l="1"/>
  <c r="E99" i="33" s="1"/>
  <c r="D102" i="33"/>
  <c r="H185" i="28"/>
  <c r="F102" i="33" s="1"/>
  <c r="H102" i="33" s="1"/>
  <c r="C69" i="33"/>
  <c r="H248" i="28" l="1"/>
  <c r="F99" i="33" s="1"/>
  <c r="H99" i="33" s="1"/>
  <c r="F177" i="28"/>
  <c r="D69" i="33" l="1"/>
  <c r="H566" i="22" l="1"/>
  <c r="H565" i="22"/>
  <c r="G177" i="28" l="1"/>
  <c r="E210" i="33"/>
  <c r="C210" i="33"/>
  <c r="H275" i="28"/>
  <c r="H1025" i="22"/>
  <c r="F210" i="33" l="1"/>
  <c r="H210" i="33" s="1"/>
  <c r="E69" i="33"/>
  <c r="H177" i="28"/>
  <c r="F69" i="33" s="1"/>
  <c r="F275" i="28"/>
  <c r="D210" i="33" l="1"/>
  <c r="H580" i="22"/>
  <c r="E7" i="35" l="1"/>
  <c r="E12" i="35"/>
  <c r="E15" i="35"/>
  <c r="J11" i="35"/>
  <c r="J18" i="35" s="1"/>
  <c r="F15" i="35"/>
  <c r="G12" i="35"/>
  <c r="H6" i="35"/>
  <c r="I6" i="35"/>
  <c r="E6" i="35"/>
  <c r="H980" i="22"/>
  <c r="H977" i="22"/>
  <c r="H621" i="22" l="1"/>
  <c r="H622" i="22"/>
  <c r="C98" i="33" l="1"/>
  <c r="H421" i="22"/>
  <c r="K421" i="22" s="1"/>
  <c r="H420" i="22"/>
  <c r="K420" i="22" s="1"/>
  <c r="K422" i="22" s="1"/>
  <c r="G247" i="28" l="1"/>
  <c r="E98" i="33" s="1"/>
  <c r="E15" i="23"/>
  <c r="F15" i="23" s="1"/>
  <c r="E16" i="23"/>
  <c r="F16" i="23" s="1"/>
  <c r="H579" i="22"/>
  <c r="F247" i="28" l="1"/>
  <c r="D98" i="33" l="1"/>
  <c r="H247" i="28"/>
  <c r="F98" i="33" s="1"/>
  <c r="H98" i="33" s="1"/>
  <c r="H576" i="22"/>
  <c r="H577" i="22"/>
  <c r="H578" i="22"/>
  <c r="H170" i="22" l="1"/>
  <c r="H169" i="22"/>
  <c r="C101" i="33"/>
  <c r="C100" i="33"/>
  <c r="C97" i="33"/>
  <c r="H418" i="22"/>
  <c r="H415" i="22"/>
  <c r="K415" i="22" s="1"/>
  <c r="H417" i="22"/>
  <c r="K417" i="22" s="1"/>
  <c r="H414" i="22"/>
  <c r="K414" i="22" s="1"/>
  <c r="K416" i="22" l="1"/>
  <c r="K418" i="22"/>
  <c r="K419" i="22" s="1"/>
  <c r="F250" i="28"/>
  <c r="D100" i="33" s="1"/>
  <c r="G250" i="28"/>
  <c r="F251" i="28"/>
  <c r="G251" i="28" l="1"/>
  <c r="E101" i="33" s="1"/>
  <c r="E100" i="33"/>
  <c r="H250" i="28"/>
  <c r="F100" i="33" s="1"/>
  <c r="H100" i="33" s="1"/>
  <c r="D101" i="33"/>
  <c r="F252" i="28"/>
  <c r="H13" i="22"/>
  <c r="H14" i="22"/>
  <c r="H15" i="22"/>
  <c r="H16" i="22"/>
  <c r="H17" i="22"/>
  <c r="H18" i="22"/>
  <c r="G252" i="28" l="1"/>
  <c r="H251" i="28"/>
  <c r="F101" i="33" s="1"/>
  <c r="H101" i="33" s="1"/>
  <c r="C228" i="33"/>
  <c r="H252" i="28" l="1"/>
  <c r="H1106" i="22"/>
  <c r="H1105" i="22"/>
  <c r="K1105" i="22" l="1"/>
  <c r="G245" i="28" s="1"/>
  <c r="E228" i="33" s="1"/>
  <c r="K1106" i="22"/>
  <c r="H971" i="22"/>
  <c r="H972" i="22"/>
  <c r="H967" i="22"/>
  <c r="H968" i="22"/>
  <c r="H10" i="22"/>
  <c r="K1107" i="22" l="1"/>
  <c r="F245" i="28"/>
  <c r="H348" i="22"/>
  <c r="H245" i="28" l="1"/>
  <c r="F228" i="33" s="1"/>
  <c r="D228" i="33"/>
  <c r="C184" i="33"/>
  <c r="H894" i="22"/>
  <c r="K894" i="22" s="1"/>
  <c r="H895" i="22"/>
  <c r="K895" i="22" s="1"/>
  <c r="H896" i="22"/>
  <c r="K896" i="22" s="1"/>
  <c r="H893" i="22"/>
  <c r="K893" i="22" s="1"/>
  <c r="I37" i="36"/>
  <c r="K37" i="36" s="1"/>
  <c r="D37" i="36"/>
  <c r="F37" i="36" s="1"/>
  <c r="I17" i="36"/>
  <c r="K17" i="36" s="1"/>
  <c r="D17" i="36"/>
  <c r="F17" i="36" s="1"/>
  <c r="H31" i="36"/>
  <c r="G31" i="36"/>
  <c r="C31" i="36"/>
  <c r="H36" i="36" s="1"/>
  <c r="B31" i="36"/>
  <c r="G36" i="36" s="1"/>
  <c r="H26" i="36"/>
  <c r="G26" i="36"/>
  <c r="C26" i="36"/>
  <c r="B26" i="36"/>
  <c r="H11" i="36"/>
  <c r="G11" i="36"/>
  <c r="C11" i="36"/>
  <c r="H16" i="36" s="1"/>
  <c r="B11" i="36"/>
  <c r="G16" i="36" s="1"/>
  <c r="H6" i="36"/>
  <c r="G6" i="36"/>
  <c r="I32" i="36"/>
  <c r="K32" i="36" s="1"/>
  <c r="D32" i="36"/>
  <c r="F32" i="36" s="1"/>
  <c r="I27" i="36"/>
  <c r="K27" i="36" s="1"/>
  <c r="D27" i="36"/>
  <c r="F27" i="36" s="1"/>
  <c r="I12" i="36"/>
  <c r="K12" i="36" s="1"/>
  <c r="D12" i="36"/>
  <c r="F12" i="36" s="1"/>
  <c r="I7" i="36"/>
  <c r="K7" i="36" s="1"/>
  <c r="D7" i="36"/>
  <c r="F7" i="36" s="1"/>
  <c r="K897" i="22" l="1"/>
  <c r="H228" i="33"/>
  <c r="J228" i="33"/>
  <c r="L17" i="36"/>
  <c r="G190" i="28"/>
  <c r="E184" i="33" s="1"/>
  <c r="F190" i="28"/>
  <c r="H19" i="36"/>
  <c r="H20" i="36"/>
  <c r="C36" i="36"/>
  <c r="B36" i="36"/>
  <c r="B16" i="36"/>
  <c r="C16" i="36"/>
  <c r="L37" i="36"/>
  <c r="L32" i="36"/>
  <c r="L7" i="36"/>
  <c r="L27" i="36"/>
  <c r="L12" i="36"/>
  <c r="H42" i="22"/>
  <c r="D184" i="33" l="1"/>
  <c r="H190" i="28"/>
  <c r="F184" i="33" s="1"/>
  <c r="H184" i="33" s="1"/>
  <c r="H21" i="36"/>
  <c r="H22" i="36"/>
  <c r="D17" i="23"/>
  <c r="D9" i="35" s="1"/>
  <c r="G18" i="35"/>
  <c r="H18" i="35"/>
  <c r="I18" i="35"/>
  <c r="H768" i="22"/>
  <c r="H767" i="22"/>
  <c r="H770" i="22"/>
  <c r="H769" i="22"/>
  <c r="D7" i="35" l="1"/>
  <c r="F18" i="35"/>
  <c r="E18" i="35"/>
  <c r="H43" i="22" l="1"/>
  <c r="G12" i="28"/>
  <c r="F17" i="28"/>
  <c r="H45" i="22"/>
  <c r="H46" i="22"/>
  <c r="H47" i="22"/>
  <c r="H31" i="22"/>
  <c r="H32" i="22"/>
  <c r="F13" i="28"/>
  <c r="H8" i="22"/>
  <c r="H9" i="22"/>
  <c r="C171" i="33"/>
  <c r="G246" i="28"/>
  <c r="H766" i="22"/>
  <c r="H765" i="22"/>
  <c r="G16" i="28" l="1"/>
  <c r="G13" i="28"/>
  <c r="F246" i="28"/>
  <c r="H246" i="28" s="1"/>
  <c r="N771" i="22"/>
  <c r="O771" i="22" s="1"/>
  <c r="H17" i="28"/>
  <c r="E171" i="33"/>
  <c r="D171" i="33" l="1"/>
  <c r="F171" i="33"/>
  <c r="H171" i="33" s="1"/>
  <c r="D11" i="23"/>
  <c r="D25" i="23" s="1"/>
  <c r="D51" i="23" s="1"/>
  <c r="E8" i="23"/>
  <c r="F8" i="23" s="1"/>
  <c r="E9" i="23"/>
  <c r="F9" i="23" s="1"/>
  <c r="E10" i="23"/>
  <c r="F10" i="23" s="1"/>
  <c r="H25" i="23" l="1"/>
  <c r="C5" i="37"/>
  <c r="D10" i="35"/>
  <c r="C185" i="33"/>
  <c r="H899" i="22"/>
  <c r="H898" i="22"/>
  <c r="K898" i="22" l="1"/>
  <c r="K899" i="22"/>
  <c r="G192" i="28" s="1"/>
  <c r="E185" i="33" s="1"/>
  <c r="E5" i="37"/>
  <c r="C12" i="37"/>
  <c r="E12" i="37" s="1"/>
  <c r="K900" i="22" l="1"/>
  <c r="F192" i="28"/>
  <c r="D185" i="33" l="1"/>
  <c r="H192" i="28"/>
  <c r="F185" i="33" s="1"/>
  <c r="H185" i="33" s="1"/>
  <c r="D8" i="25"/>
  <c r="H294" i="22"/>
  <c r="H296" i="22"/>
  <c r="H295" i="22"/>
  <c r="H979" i="22" l="1"/>
  <c r="H976" i="22"/>
  <c r="F36" i="28" l="1"/>
  <c r="D199" i="33"/>
  <c r="G36" i="28"/>
  <c r="E199" i="33"/>
  <c r="H222" i="22"/>
  <c r="H221" i="22"/>
  <c r="H36" i="28" l="1"/>
  <c r="F199" i="33" s="1"/>
  <c r="H199" i="33" s="1"/>
  <c r="D3" i="28"/>
  <c r="C4" i="34" s="1"/>
  <c r="I3" i="28"/>
  <c r="H481" i="22"/>
  <c r="H480" i="22"/>
  <c r="H111" i="22" l="1"/>
  <c r="H110" i="22"/>
  <c r="K110" i="22" s="1"/>
  <c r="K112" i="22" l="1"/>
  <c r="E97" i="33"/>
  <c r="C226" i="33"/>
  <c r="C225" i="33"/>
  <c r="C223" i="33"/>
  <c r="C222" i="33"/>
  <c r="C221" i="33"/>
  <c r="C220" i="33"/>
  <c r="C219" i="33"/>
  <c r="C218" i="33"/>
  <c r="C217" i="33"/>
  <c r="C198" i="33" l="1"/>
  <c r="C197" i="33"/>
  <c r="C196" i="33"/>
  <c r="C195" i="33"/>
  <c r="C194" i="33"/>
  <c r="C193" i="33"/>
  <c r="C192" i="33"/>
  <c r="C191" i="33"/>
  <c r="C190" i="33"/>
  <c r="C52" i="33" l="1"/>
  <c r="G91" i="28"/>
  <c r="H478" i="22"/>
  <c r="F91" i="28"/>
  <c r="H477" i="22"/>
  <c r="E52" i="33" l="1"/>
  <c r="H91" i="28"/>
  <c r="F52" i="33" s="1"/>
  <c r="H52" i="33" s="1"/>
  <c r="D52" i="33"/>
  <c r="H616" i="22"/>
  <c r="K616" i="22" s="1"/>
  <c r="C161" i="33" l="1"/>
  <c r="C160" i="33"/>
  <c r="C159" i="33"/>
  <c r="C158" i="33"/>
  <c r="C157" i="33"/>
  <c r="C156" i="33"/>
  <c r="C155" i="33"/>
  <c r="C154" i="33"/>
  <c r="C153" i="33"/>
  <c r="C152" i="33"/>
  <c r="C151" i="33"/>
  <c r="C150" i="33"/>
  <c r="C149" i="33"/>
  <c r="C148" i="33"/>
  <c r="C147" i="33"/>
  <c r="C146" i="33"/>
  <c r="C145" i="33"/>
  <c r="H325" i="22" l="1"/>
  <c r="K325" i="22" s="1"/>
  <c r="C172" i="33" l="1"/>
  <c r="C170" i="33"/>
  <c r="C169" i="33"/>
  <c r="C168" i="33"/>
  <c r="C167" i="33"/>
  <c r="C183" i="33" l="1"/>
  <c r="C182" i="33" l="1"/>
  <c r="C181" i="33"/>
  <c r="C180" i="33"/>
  <c r="C179" i="33"/>
  <c r="E177" i="33"/>
  <c r="C178" i="33"/>
  <c r="C177" i="33"/>
  <c r="C176" i="33"/>
  <c r="C209" i="33"/>
  <c r="C208" i="33"/>
  <c r="C207" i="33"/>
  <c r="C206" i="33"/>
  <c r="C205" i="33"/>
  <c r="C204" i="33"/>
  <c r="G173" i="33"/>
  <c r="D12" i="34" s="1"/>
  <c r="C141" i="33"/>
  <c r="C140" i="33"/>
  <c r="C139" i="33"/>
  <c r="C138" i="33"/>
  <c r="C137" i="33"/>
  <c r="C136" i="33"/>
  <c r="C135" i="33"/>
  <c r="C134" i="33"/>
  <c r="C133" i="33"/>
  <c r="G142" i="33" l="1"/>
  <c r="D7" i="34" s="1"/>
  <c r="G213" i="33"/>
  <c r="D16" i="34" s="1"/>
  <c r="D2" i="33"/>
  <c r="E129" i="33" l="1"/>
  <c r="C129" i="33"/>
  <c r="C128" i="33"/>
  <c r="C127" i="33"/>
  <c r="C126" i="33"/>
  <c r="C125" i="33"/>
  <c r="C124" i="33"/>
  <c r="C123" i="33"/>
  <c r="C122" i="33"/>
  <c r="C121" i="33"/>
  <c r="C120" i="33"/>
  <c r="C118" i="33"/>
  <c r="C117" i="33"/>
  <c r="C116" i="33"/>
  <c r="C115" i="33"/>
  <c r="C114" i="33"/>
  <c r="C113" i="33"/>
  <c r="G130" i="33" l="1"/>
  <c r="D11" i="34" s="1"/>
  <c r="C109" i="33"/>
  <c r="C108" i="33"/>
  <c r="C107" i="33"/>
  <c r="C106" i="33"/>
  <c r="C96" i="33"/>
  <c r="C95" i="33"/>
  <c r="C94" i="33"/>
  <c r="C93" i="33"/>
  <c r="C92" i="33"/>
  <c r="C91" i="33"/>
  <c r="C90" i="33"/>
  <c r="C89" i="33"/>
  <c r="C88" i="33"/>
  <c r="C87" i="33"/>
  <c r="C86" i="33"/>
  <c r="E85" i="33"/>
  <c r="C85" i="33"/>
  <c r="C84" i="33"/>
  <c r="C83" i="33"/>
  <c r="C82" i="33"/>
  <c r="C81" i="33"/>
  <c r="C80" i="33"/>
  <c r="C79" i="33"/>
  <c r="C78" i="33"/>
  <c r="C77" i="33"/>
  <c r="G103" i="33" l="1"/>
  <c r="D9" i="34" s="1"/>
  <c r="G110" i="33"/>
  <c r="D8" i="34" s="1"/>
  <c r="E72" i="33"/>
  <c r="C72" i="33"/>
  <c r="C70" i="33"/>
  <c r="C68" i="33"/>
  <c r="C67" i="33"/>
  <c r="C66" i="33"/>
  <c r="C65" i="33"/>
  <c r="C64" i="33"/>
  <c r="C63" i="33"/>
  <c r="C62" i="33"/>
  <c r="C61" i="33"/>
  <c r="C59" i="33"/>
  <c r="C60" i="33"/>
  <c r="C58" i="33"/>
  <c r="C57" i="33"/>
  <c r="C56" i="33"/>
  <c r="C55" i="33"/>
  <c r="C54" i="33"/>
  <c r="C53" i="33"/>
  <c r="C49" i="33"/>
  <c r="C51" i="33"/>
  <c r="C50" i="33"/>
  <c r="C48" i="33"/>
  <c r="G73" i="33" l="1"/>
  <c r="D10" i="34" s="1"/>
  <c r="C39" i="33" l="1"/>
  <c r="H604" i="22" l="1"/>
  <c r="H605" i="22"/>
  <c r="H606" i="22"/>
  <c r="H607" i="22"/>
  <c r="H610" i="22"/>
  <c r="K610" i="22" s="1"/>
  <c r="H611" i="22"/>
  <c r="K611" i="22" s="1"/>
  <c r="E7" i="23" l="1"/>
  <c r="F7" i="23" s="1"/>
  <c r="H556" i="22"/>
  <c r="F152" i="28"/>
  <c r="D66" i="33" s="1"/>
  <c r="H555" i="22"/>
  <c r="G152" i="28" l="1"/>
  <c r="G189" i="28"/>
  <c r="E197" i="33" s="1"/>
  <c r="H973" i="22"/>
  <c r="H969" i="22"/>
  <c r="H964" i="22"/>
  <c r="H962" i="22"/>
  <c r="H709" i="22"/>
  <c r="H710" i="22"/>
  <c r="H707" i="22"/>
  <c r="H708" i="22"/>
  <c r="H705" i="22"/>
  <c r="H704" i="22"/>
  <c r="F244" i="28" l="1"/>
  <c r="D198" i="33" s="1"/>
  <c r="H152" i="28"/>
  <c r="F66" i="33" s="1"/>
  <c r="H66" i="33" s="1"/>
  <c r="E66" i="33"/>
  <c r="G244" i="28"/>
  <c r="E198" i="33" s="1"/>
  <c r="F189" i="28"/>
  <c r="C18" i="24"/>
  <c r="C24" i="24" s="1"/>
  <c r="C25" i="24" s="1"/>
  <c r="C28" i="24" s="1"/>
  <c r="H189" i="28" l="1"/>
  <c r="F197" i="33" s="1"/>
  <c r="H197" i="33" s="1"/>
  <c r="D197" i="33"/>
  <c r="H244" i="28"/>
  <c r="F198" i="33" s="1"/>
  <c r="H198" i="33" s="1"/>
  <c r="H703" i="22" l="1"/>
  <c r="K703" i="22" s="1"/>
  <c r="H702" i="22"/>
  <c r="K702" i="22" s="1"/>
  <c r="K706" i="22" l="1"/>
  <c r="K712" i="22" s="1"/>
  <c r="K745" i="22" s="1"/>
  <c r="F33" i="23"/>
  <c r="G271" i="28" l="1"/>
  <c r="D14" i="25" l="1"/>
  <c r="D13" i="25"/>
  <c r="E1124" i="22"/>
  <c r="E1125" i="22"/>
  <c r="H1125" i="22" l="1"/>
  <c r="I14" i="25" s="1"/>
  <c r="F13" i="25"/>
  <c r="H1124" i="22"/>
  <c r="I13" i="25" s="1"/>
  <c r="F14" i="25"/>
  <c r="F271" i="28" l="1"/>
  <c r="H271" i="28" s="1"/>
  <c r="G169" i="28"/>
  <c r="E39" i="33" s="1"/>
  <c r="F169" i="28"/>
  <c r="D39" i="33" s="1"/>
  <c r="H119" i="22"/>
  <c r="H118" i="22"/>
  <c r="H169" i="28" l="1"/>
  <c r="F39" i="33" s="1"/>
  <c r="H39" i="33" l="1"/>
  <c r="J39" i="33"/>
  <c r="H405" i="22"/>
  <c r="H404" i="22"/>
  <c r="K404" i="22" s="1"/>
  <c r="K405" i="22" l="1"/>
  <c r="K406" i="22" s="1"/>
  <c r="F159" i="28"/>
  <c r="G159" i="28" l="1"/>
  <c r="E94" i="33" s="1"/>
  <c r="H159" i="28"/>
  <c r="F94" i="33" s="1"/>
  <c r="H94" i="33" s="1"/>
  <c r="D94" i="33"/>
  <c r="H180" i="22" l="1"/>
  <c r="H183" i="22"/>
  <c r="H182" i="22"/>
  <c r="H179" i="22"/>
  <c r="B11" i="25" l="1"/>
  <c r="B12" i="25" s="1"/>
  <c r="B16" i="25" l="1"/>
  <c r="B13" i="25"/>
  <c r="B14" i="25" s="1"/>
  <c r="H651" i="22" l="1"/>
  <c r="D32" i="23" l="1"/>
  <c r="D17" i="35"/>
  <c r="D18" i="35" s="1"/>
  <c r="F22" i="35" s="1"/>
  <c r="H413" i="22" l="1"/>
  <c r="K413" i="22" s="1"/>
  <c r="F188" i="28" l="1"/>
  <c r="D12" i="25"/>
  <c r="D11" i="25"/>
  <c r="E1121" i="22"/>
  <c r="E1122" i="22"/>
  <c r="E1123" i="22"/>
  <c r="H188" i="28" l="1"/>
  <c r="F97" i="33" s="1"/>
  <c r="H97" i="33" s="1"/>
  <c r="D97" i="33"/>
  <c r="H1122" i="22"/>
  <c r="I11" i="25" s="1"/>
  <c r="F270" i="28" s="1"/>
  <c r="F12" i="25"/>
  <c r="F11" i="25"/>
  <c r="H1123" i="22"/>
  <c r="I12" i="25" s="1"/>
  <c r="G270" i="28" s="1"/>
  <c r="H270" i="28" l="1"/>
  <c r="H473" i="22"/>
  <c r="H443" i="22"/>
  <c r="K443" i="22" s="1"/>
  <c r="H647" i="22" l="1"/>
  <c r="H891" i="22" l="1"/>
  <c r="H890" i="22"/>
  <c r="K890" i="22" s="1"/>
  <c r="K891" i="22" l="1"/>
  <c r="K892" i="22" s="1"/>
  <c r="F237" i="28"/>
  <c r="G237" i="28" l="1"/>
  <c r="E183" i="33" s="1"/>
  <c r="D183" i="33"/>
  <c r="H237" i="28" l="1"/>
  <c r="F183" i="33" s="1"/>
  <c r="H183" i="33" s="1"/>
  <c r="E34" i="23"/>
  <c r="F34" i="23" s="1"/>
  <c r="H649" i="22" l="1"/>
  <c r="H650" i="22"/>
  <c r="F219" i="28" l="1"/>
  <c r="D109" i="33" s="1"/>
  <c r="H307" i="22"/>
  <c r="H306" i="22"/>
  <c r="G219" i="28" l="1"/>
  <c r="E36" i="23"/>
  <c r="F36" i="23" s="1"/>
  <c r="H219" i="28" l="1"/>
  <c r="F109" i="33" s="1"/>
  <c r="H109" i="33" s="1"/>
  <c r="E109" i="33"/>
  <c r="H174" i="22"/>
  <c r="H322" i="22" l="1"/>
  <c r="K322" i="22" s="1"/>
  <c r="H318" i="22"/>
  <c r="K318" i="22" s="1"/>
  <c r="H162" i="22" l="1"/>
  <c r="H163" i="22"/>
  <c r="H1091" i="22" l="1"/>
  <c r="M14" i="32" l="1"/>
  <c r="M13" i="32"/>
  <c r="M20" i="32"/>
  <c r="M22" i="32" s="1"/>
  <c r="M28" i="32" s="1"/>
  <c r="M8" i="32"/>
  <c r="M29" i="32" l="1"/>
  <c r="M30" i="32" s="1"/>
  <c r="H1017" i="22" l="1"/>
  <c r="L43" i="28" l="1"/>
  <c r="L32" i="28"/>
  <c r="L30" i="28"/>
  <c r="L27" i="28"/>
  <c r="L26" i="28"/>
  <c r="L25" i="28"/>
  <c r="L22" i="28"/>
  <c r="L21" i="28"/>
  <c r="L108" i="28"/>
  <c r="L106" i="28"/>
  <c r="L105" i="28"/>
  <c r="L104" i="28"/>
  <c r="L103" i="28"/>
  <c r="L100" i="28"/>
  <c r="L98" i="28"/>
  <c r="L97" i="28"/>
  <c r="L95" i="28"/>
  <c r="L94" i="28"/>
  <c r="H631" i="22" l="1"/>
  <c r="K631" i="22" s="1"/>
  <c r="D4" i="34" l="1"/>
  <c r="C43" i="33"/>
  <c r="C42" i="33"/>
  <c r="C40" i="33"/>
  <c r="C38" i="33"/>
  <c r="C37" i="33"/>
  <c r="C36" i="33"/>
  <c r="C35" i="33"/>
  <c r="C34" i="33"/>
  <c r="C33" i="33"/>
  <c r="C32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5" i="33" l="1"/>
  <c r="C14" i="33"/>
  <c r="C13" i="33"/>
  <c r="C12" i="33"/>
  <c r="C11" i="33"/>
  <c r="C10" i="33"/>
  <c r="C9" i="33"/>
  <c r="C8" i="33"/>
  <c r="C7" i="33"/>
  <c r="C6" i="33"/>
  <c r="C5" i="33"/>
  <c r="C4" i="33"/>
  <c r="G2" i="33"/>
  <c r="G187" i="28" l="1"/>
  <c r="F187" i="28"/>
  <c r="H190" i="22"/>
  <c r="H189" i="22"/>
  <c r="E38" i="33" l="1"/>
  <c r="H187" i="28"/>
  <c r="D38" i="33"/>
  <c r="F38" i="33" l="1"/>
  <c r="I32" i="25"/>
  <c r="H38" i="33" l="1"/>
  <c r="J38" i="33"/>
  <c r="H91" i="22"/>
  <c r="H92" i="22"/>
  <c r="H160" i="22"/>
  <c r="H161" i="22"/>
  <c r="H158" i="22"/>
  <c r="H1103" i="22" l="1"/>
  <c r="K1103" i="22" s="1"/>
  <c r="H1102" i="22"/>
  <c r="K1102" i="22" l="1"/>
  <c r="G167" i="28" s="1"/>
  <c r="E226" i="33" s="1"/>
  <c r="F167" i="28"/>
  <c r="H1090" i="22"/>
  <c r="K1090" i="22" s="1"/>
  <c r="K1104" i="22" l="1"/>
  <c r="H167" i="28"/>
  <c r="F226" i="33" s="1"/>
  <c r="D226" i="33"/>
  <c r="G113" i="28"/>
  <c r="F113" i="28"/>
  <c r="H849" i="22"/>
  <c r="H848" i="22"/>
  <c r="H806" i="22"/>
  <c r="H805" i="22"/>
  <c r="H226" i="33" l="1"/>
  <c r="J226" i="33"/>
  <c r="E161" i="33"/>
  <c r="G114" i="28"/>
  <c r="D161" i="33"/>
  <c r="F114" i="28"/>
  <c r="H113" i="28"/>
  <c r="H114" i="28" s="1"/>
  <c r="F161" i="33" l="1"/>
  <c r="H161" i="33" s="1"/>
  <c r="G166" i="28"/>
  <c r="E141" i="33" s="1"/>
  <c r="H742" i="22"/>
  <c r="H743" i="22"/>
  <c r="F166" i="28" l="1"/>
  <c r="H166" i="28" l="1"/>
  <c r="F141" i="33" s="1"/>
  <c r="H141" i="33" s="1"/>
  <c r="D141" i="33"/>
  <c r="H281" i="22" l="1"/>
  <c r="K281" i="22" s="1"/>
  <c r="H280" i="22"/>
  <c r="K280" i="22" s="1"/>
  <c r="K282" i="22" l="1"/>
  <c r="F216" i="28" s="1"/>
  <c r="H216" i="28" s="1"/>
  <c r="H685" i="22" l="1"/>
  <c r="H686" i="22"/>
  <c r="H677" i="22"/>
  <c r="H678" i="22"/>
  <c r="H632" i="22"/>
  <c r="K632" i="22" s="1"/>
  <c r="H633" i="22"/>
  <c r="K633" i="22" s="1"/>
  <c r="H617" i="22"/>
  <c r="K634" i="22" l="1"/>
  <c r="K617" i="22"/>
  <c r="K618" i="22" s="1"/>
  <c r="F33" i="28"/>
  <c r="G35" i="28"/>
  <c r="E117" i="33" s="1"/>
  <c r="F35" i="28"/>
  <c r="D117" i="33" s="1"/>
  <c r="G33" i="28" l="1"/>
  <c r="E115" i="33" s="1"/>
  <c r="D115" i="33"/>
  <c r="H35" i="28"/>
  <c r="F117" i="33" s="1"/>
  <c r="H33" i="28" l="1"/>
  <c r="F115" i="33" s="1"/>
  <c r="H115" i="33" s="1"/>
  <c r="H117" i="33"/>
  <c r="H1098" i="22"/>
  <c r="K1098" i="22" s="1"/>
  <c r="D1117" i="22" l="1"/>
  <c r="C1117" i="22"/>
  <c r="G168" i="28" l="1"/>
  <c r="E140" i="33" s="1"/>
  <c r="F168" i="28"/>
  <c r="D140" i="33" s="1"/>
  <c r="H740" i="22"/>
  <c r="H739" i="22"/>
  <c r="H168" i="28" l="1"/>
  <c r="F140" i="33" s="1"/>
  <c r="H140" i="33" s="1"/>
  <c r="H332" i="22" l="1"/>
  <c r="H331" i="22"/>
  <c r="K331" i="22" s="1"/>
  <c r="K332" i="22" l="1"/>
  <c r="K333" i="22" s="1"/>
  <c r="F165" i="28"/>
  <c r="D79" i="33" s="1"/>
  <c r="G165" i="28" l="1"/>
  <c r="E79" i="33" s="1"/>
  <c r="H1095" i="22"/>
  <c r="K1095" i="22" s="1"/>
  <c r="H1096" i="22"/>
  <c r="K1096" i="22" s="1"/>
  <c r="H1071" i="22"/>
  <c r="K1071" i="22" s="1"/>
  <c r="H1072" i="22"/>
  <c r="K1072" i="22" s="1"/>
  <c r="H1073" i="22"/>
  <c r="K1073" i="22" s="1"/>
  <c r="H1074" i="22"/>
  <c r="K1074" i="22" s="1"/>
  <c r="H1070" i="22"/>
  <c r="K1070" i="22" s="1"/>
  <c r="H1067" i="22"/>
  <c r="K1067" i="22" s="1"/>
  <c r="H1068" i="22"/>
  <c r="K1068" i="22" s="1"/>
  <c r="H165" i="28" l="1"/>
  <c r="F79" i="33" s="1"/>
  <c r="H79" i="33" s="1"/>
  <c r="K1075" i="22"/>
  <c r="G186" i="28"/>
  <c r="E139" i="33" s="1"/>
  <c r="F186" i="28"/>
  <c r="D139" i="33" s="1"/>
  <c r="H737" i="22"/>
  <c r="H736" i="22"/>
  <c r="H186" i="28" l="1"/>
  <c r="F139" i="33" s="1"/>
  <c r="H139" i="33" s="1"/>
  <c r="H882" i="22" l="1"/>
  <c r="K882" i="22" s="1"/>
  <c r="H881" i="22"/>
  <c r="K881" i="22" s="1"/>
  <c r="K883" i="22" l="1"/>
  <c r="K901" i="22" s="1"/>
  <c r="H675" i="22"/>
  <c r="H676" i="22"/>
  <c r="H319" i="22" l="1"/>
  <c r="K319" i="22" s="1"/>
  <c r="H320" i="22"/>
  <c r="K320" i="22" s="1"/>
  <c r="H321" i="22"/>
  <c r="K321" i="22" s="1"/>
  <c r="K323" i="22" l="1"/>
  <c r="R1021" i="22"/>
  <c r="H1021" i="22"/>
  <c r="A84" i="28" l="1"/>
  <c r="A87" i="28" s="1"/>
  <c r="A88" i="28" s="1"/>
  <c r="A89" i="28" s="1"/>
  <c r="A90" i="28" s="1"/>
  <c r="A94" i="28" l="1"/>
  <c r="A95" i="28" s="1"/>
  <c r="A91" i="28"/>
  <c r="G184" i="28"/>
  <c r="E160" i="33" s="1"/>
  <c r="F184" i="28"/>
  <c r="D160" i="33" s="1"/>
  <c r="H846" i="22"/>
  <c r="H845" i="22"/>
  <c r="H184" i="28" l="1"/>
  <c r="F160" i="33" s="1"/>
  <c r="H160" i="33" s="1"/>
  <c r="H1087" i="22"/>
  <c r="K1087" i="22" s="1"/>
  <c r="H1088" i="22"/>
  <c r="K1088" i="22" l="1"/>
  <c r="F241" i="28" s="1"/>
  <c r="G241" i="28"/>
  <c r="H241" i="28" l="1"/>
  <c r="G14" i="28"/>
  <c r="H6" i="22"/>
  <c r="H7" i="22"/>
  <c r="H11" i="22"/>
  <c r="H12" i="22"/>
  <c r="H959" i="22" l="1"/>
  <c r="H958" i="22"/>
  <c r="H957" i="22"/>
  <c r="H955" i="22"/>
  <c r="H954" i="22"/>
  <c r="H951" i="22"/>
  <c r="H950" i="22"/>
  <c r="H948" i="22"/>
  <c r="H947" i="22"/>
  <c r="G110" i="28"/>
  <c r="E196" i="33" s="1"/>
  <c r="F110" i="28"/>
  <c r="D196" i="33" s="1"/>
  <c r="H944" i="22"/>
  <c r="H942" i="22"/>
  <c r="H938" i="22"/>
  <c r="H939" i="22"/>
  <c r="H937" i="22"/>
  <c r="H934" i="22"/>
  <c r="H935" i="22"/>
  <c r="H933" i="22"/>
  <c r="G108" i="28" l="1"/>
  <c r="E194" i="33" s="1"/>
  <c r="F149" i="28"/>
  <c r="D195" i="33" s="1"/>
  <c r="G221" i="28"/>
  <c r="E193" i="33" s="1"/>
  <c r="F108" i="28" l="1"/>
  <c r="D194" i="33" s="1"/>
  <c r="F221" i="28"/>
  <c r="G149" i="28"/>
  <c r="E195" i="33" s="1"/>
  <c r="D193" i="33" l="1"/>
  <c r="G164" i="28"/>
  <c r="H143" i="22"/>
  <c r="H142" i="22"/>
  <c r="E37" i="33" l="1"/>
  <c r="F164" i="28"/>
  <c r="H164" i="28" l="1"/>
  <c r="D37" i="33"/>
  <c r="F37" i="33" l="1"/>
  <c r="C12" i="24"/>
  <c r="H37" i="33" l="1"/>
  <c r="J37" i="33"/>
  <c r="H324" i="22"/>
  <c r="K324" i="22" s="1"/>
  <c r="H326" i="22"/>
  <c r="K326" i="22" s="1"/>
  <c r="H327" i="22"/>
  <c r="K327" i="22" s="1"/>
  <c r="H328" i="22"/>
  <c r="K328" i="22" s="1"/>
  <c r="K329" i="22" l="1"/>
  <c r="K330" i="22" s="1"/>
  <c r="D16" i="25"/>
  <c r="D15" i="25"/>
  <c r="H502" i="22" l="1"/>
  <c r="H503" i="22"/>
  <c r="H1094" i="22" l="1"/>
  <c r="K1094" i="22" s="1"/>
  <c r="K1100" i="22" s="1"/>
  <c r="H1093" i="22"/>
  <c r="K1093" i="22" s="1"/>
  <c r="K1099" i="22" s="1"/>
  <c r="K1101" i="22" s="1"/>
  <c r="F236" i="28" l="1"/>
  <c r="D225" i="33" s="1"/>
  <c r="G236" i="28"/>
  <c r="E225" i="33" s="1"/>
  <c r="H236" i="28" l="1"/>
  <c r="F225" i="33" s="1"/>
  <c r="E1127" i="22"/>
  <c r="H1127" i="22" s="1"/>
  <c r="E1128" i="22"/>
  <c r="H1128" i="22" s="1"/>
  <c r="H225" i="33" l="1"/>
  <c r="J225" i="33"/>
  <c r="H1129" i="22"/>
  <c r="F234" i="28" l="1"/>
  <c r="D36" i="33" s="1"/>
  <c r="H122" i="22"/>
  <c r="H121" i="22"/>
  <c r="G234" i="28" l="1"/>
  <c r="H234" i="28" l="1"/>
  <c r="E36" i="33"/>
  <c r="E16" i="25"/>
  <c r="E15" i="25"/>
  <c r="F36" i="33" l="1"/>
  <c r="E31" i="23"/>
  <c r="F31" i="23" s="1"/>
  <c r="H36" i="33" l="1"/>
  <c r="J36" i="33"/>
  <c r="G233" i="28"/>
  <c r="E90" i="33" s="1"/>
  <c r="H393" i="22"/>
  <c r="H392" i="22"/>
  <c r="H395" i="22"/>
  <c r="K395" i="22" s="1"/>
  <c r="F233" i="28" l="1"/>
  <c r="H233" i="28" l="1"/>
  <c r="F90" i="33" s="1"/>
  <c r="H90" i="33" s="1"/>
  <c r="D90" i="33"/>
  <c r="O25" i="32"/>
  <c r="O26" i="32"/>
  <c r="E42" i="23" l="1"/>
  <c r="F42" i="23" s="1"/>
  <c r="O24" i="32" l="1"/>
  <c r="O23" i="32"/>
  <c r="F28" i="32"/>
  <c r="F20" i="32"/>
  <c r="F13" i="32"/>
  <c r="F8" i="32"/>
  <c r="F29" i="32" l="1"/>
  <c r="F30" i="32" s="1"/>
  <c r="D9" i="25"/>
  <c r="D7" i="25"/>
  <c r="E20" i="32" l="1"/>
  <c r="E22" i="32" s="1"/>
  <c r="E28" i="32" s="1"/>
  <c r="E8" i="32"/>
  <c r="E29" i="32" l="1"/>
  <c r="E30" i="32" s="1"/>
  <c r="O17" i="32"/>
  <c r="E13" i="32"/>
  <c r="H646" i="22" l="1"/>
  <c r="G22" i="28" l="1"/>
  <c r="E125" i="33" s="1"/>
  <c r="F242" i="28"/>
  <c r="G242" i="28"/>
  <c r="H1084" i="22"/>
  <c r="K1084" i="22" s="1"/>
  <c r="H1085" i="22"/>
  <c r="H1086" i="22"/>
  <c r="H1083" i="22"/>
  <c r="K1083" i="22" s="1"/>
  <c r="K1086" i="22" l="1"/>
  <c r="G240" i="28" s="1"/>
  <c r="K1085" i="22"/>
  <c r="F239" i="28" s="1"/>
  <c r="G239" i="28"/>
  <c r="F240" i="28"/>
  <c r="H242" i="28"/>
  <c r="K1089" i="22" l="1"/>
  <c r="K1092" i="22" s="1"/>
  <c r="H240" i="28"/>
  <c r="H239" i="28"/>
  <c r="G243" i="28"/>
  <c r="G249" i="28" s="1"/>
  <c r="E224" i="33"/>
  <c r="F243" i="28"/>
  <c r="F249" i="28" s="1"/>
  <c r="D224" i="33"/>
  <c r="D22" i="32"/>
  <c r="D28" i="32" s="1"/>
  <c r="F224" i="33" l="1"/>
  <c r="H224" i="33"/>
  <c r="J224" i="33"/>
  <c r="H243" i="28"/>
  <c r="H249" i="28" s="1"/>
  <c r="C20" i="32"/>
  <c r="C22" i="32" s="1"/>
  <c r="C28" i="32" s="1"/>
  <c r="D13" i="32"/>
  <c r="D8" i="32"/>
  <c r="D29" i="32" s="1"/>
  <c r="D30" i="32" s="1"/>
  <c r="G163" i="28" l="1"/>
  <c r="E65" i="33" s="1"/>
  <c r="F163" i="28"/>
  <c r="D65" i="33" s="1"/>
  <c r="H553" i="22"/>
  <c r="H552" i="22"/>
  <c r="H447" i="22"/>
  <c r="H448" i="22"/>
  <c r="H449" i="22"/>
  <c r="H445" i="22"/>
  <c r="H446" i="22"/>
  <c r="H163" i="28" l="1"/>
  <c r="F65" i="33" s="1"/>
  <c r="H65" i="33" s="1"/>
  <c r="H831" i="22" l="1"/>
  <c r="H832" i="22"/>
  <c r="H833" i="22"/>
  <c r="H834" i="22"/>
  <c r="H835" i="22"/>
  <c r="H830" i="22"/>
  <c r="F162" i="28" l="1"/>
  <c r="D157" i="33" s="1"/>
  <c r="G162" i="28"/>
  <c r="E157" i="33" s="1"/>
  <c r="H162" i="28" l="1"/>
  <c r="F157" i="33" s="1"/>
  <c r="H157" i="33" s="1"/>
  <c r="H1051" i="22"/>
  <c r="C8" i="32" l="1"/>
  <c r="C29" i="32" s="1"/>
  <c r="C13" i="32"/>
  <c r="C30" i="32" l="1"/>
  <c r="H612" i="22"/>
  <c r="K612" i="22" s="1"/>
  <c r="K614" i="22" s="1"/>
  <c r="K615" i="22" s="1"/>
  <c r="H609" i="22"/>
  <c r="H549" i="22" l="1"/>
  <c r="K549" i="22" s="1"/>
  <c r="H550" i="22"/>
  <c r="K550" i="22" l="1"/>
  <c r="G161" i="28" s="1"/>
  <c r="E64" i="33" s="1"/>
  <c r="F161" i="28"/>
  <c r="K551" i="22" l="1"/>
  <c r="H161" i="28"/>
  <c r="F64" i="33" s="1"/>
  <c r="H64" i="33" s="1"/>
  <c r="D64" i="33"/>
  <c r="H175" i="22"/>
  <c r="H515" i="22" l="1"/>
  <c r="B5" i="24" l="1"/>
  <c r="B4" i="24"/>
  <c r="H462" i="22" l="1"/>
  <c r="H461" i="22"/>
  <c r="H456" i="22"/>
  <c r="H815" i="22" l="1"/>
  <c r="H814" i="22"/>
  <c r="H818" i="22"/>
  <c r="H819" i="22"/>
  <c r="G47" i="28"/>
  <c r="H792" i="22"/>
  <c r="H793" i="22"/>
  <c r="E148" i="33" l="1"/>
  <c r="F47" i="28"/>
  <c r="D148" i="33" s="1"/>
  <c r="G96" i="28"/>
  <c r="E152" i="33" s="1"/>
  <c r="G98" i="28"/>
  <c r="E153" i="33" s="1"/>
  <c r="F96" i="28"/>
  <c r="D152" i="33" s="1"/>
  <c r="F98" i="28"/>
  <c r="D153" i="33" s="1"/>
  <c r="H2" i="22" l="1"/>
  <c r="H3" i="25" l="1"/>
  <c r="E4" i="35" s="1"/>
  <c r="G2" i="28"/>
  <c r="H267" i="28"/>
  <c r="H269" i="28"/>
  <c r="H64" i="28"/>
  <c r="H66" i="28"/>
  <c r="H69" i="28"/>
  <c r="H71" i="28"/>
  <c r="H72" i="28"/>
  <c r="H1063" i="22" l="1"/>
  <c r="K1063" i="22" s="1"/>
  <c r="H453" i="22" l="1"/>
  <c r="H247" i="22" l="1"/>
  <c r="H248" i="22"/>
  <c r="F256" i="28" l="1"/>
  <c r="D204" i="33" s="1"/>
  <c r="G254" i="28"/>
  <c r="G274" i="28"/>
  <c r="E159" i="33" l="1"/>
  <c r="H888" i="22" l="1"/>
  <c r="H887" i="22"/>
  <c r="G182" i="28" l="1"/>
  <c r="E182" i="33" s="1"/>
  <c r="F182" i="28"/>
  <c r="D182" i="33" s="1"/>
  <c r="H182" i="28" l="1"/>
  <c r="F182" i="33" s="1"/>
  <c r="H182" i="33" s="1"/>
  <c r="H411" i="22"/>
  <c r="H410" i="22"/>
  <c r="H408" i="22"/>
  <c r="H407" i="22"/>
  <c r="F155" i="28" l="1"/>
  <c r="D95" i="33" s="1"/>
  <c r="G155" i="28"/>
  <c r="E95" i="33" s="1"/>
  <c r="G156" i="28"/>
  <c r="E96" i="33" s="1"/>
  <c r="F156" i="28"/>
  <c r="D96" i="33" s="1"/>
  <c r="H156" i="28" l="1"/>
  <c r="F96" i="33" s="1"/>
  <c r="H96" i="33" s="1"/>
  <c r="H155" i="28"/>
  <c r="F95" i="33" s="1"/>
  <c r="H95" i="33" s="1"/>
  <c r="H13" i="28"/>
  <c r="F12" i="28"/>
  <c r="F61" i="28" l="1"/>
  <c r="D179" i="33" l="1"/>
  <c r="F54" i="28"/>
  <c r="D220" i="33" s="1"/>
  <c r="G53" i="28"/>
  <c r="E219" i="33" s="1"/>
  <c r="F53" i="28"/>
  <c r="D219" i="33" s="1"/>
  <c r="H53" i="28" l="1"/>
  <c r="F219" i="33" s="1"/>
  <c r="G51" i="28"/>
  <c r="E151" i="33" s="1"/>
  <c r="H219" i="33" l="1"/>
  <c r="J219" i="33"/>
  <c r="F51" i="28"/>
  <c r="H666" i="22"/>
  <c r="H623" i="22"/>
  <c r="K623" i="22" s="1"/>
  <c r="K628" i="22" s="1"/>
  <c r="K630" i="22" s="1"/>
  <c r="H624" i="22"/>
  <c r="H51" i="28" l="1"/>
  <c r="F151" i="33" s="1"/>
  <c r="H151" i="33" s="1"/>
  <c r="D151" i="33"/>
  <c r="G30" i="28"/>
  <c r="F30" i="28"/>
  <c r="D42" i="33" s="1"/>
  <c r="F21" i="28"/>
  <c r="D122" i="33" s="1"/>
  <c r="G20" i="28"/>
  <c r="F20" i="28"/>
  <c r="D43" i="33" s="1"/>
  <c r="F16" i="28"/>
  <c r="A96" i="28"/>
  <c r="A97" i="28" s="1"/>
  <c r="A98" i="28" s="1"/>
  <c r="A99" i="28" s="1"/>
  <c r="A100" i="28" s="1"/>
  <c r="A101" i="28" l="1"/>
  <c r="A103" i="28" s="1"/>
  <c r="A104" i="28" s="1"/>
  <c r="A105" i="28" s="1"/>
  <c r="A106" i="28" s="1"/>
  <c r="A108" i="28" s="1"/>
  <c r="A110" i="28" s="1"/>
  <c r="A112" i="28" s="1"/>
  <c r="A113" i="28" s="1"/>
  <c r="A117" i="28" s="1"/>
  <c r="A118" i="28" s="1"/>
  <c r="A119" i="28" s="1"/>
  <c r="A120" i="28" s="1"/>
  <c r="A121" i="28" s="1"/>
  <c r="A122" i="28" s="1"/>
  <c r="A123" i="28" s="1"/>
  <c r="A124" i="28" s="1"/>
  <c r="A125" i="28" s="1"/>
  <c r="A126" i="28" s="1"/>
  <c r="A127" i="28" s="1"/>
  <c r="A128" i="28" s="1"/>
  <c r="H12" i="28"/>
  <c r="E43" i="33"/>
  <c r="E42" i="33"/>
  <c r="H16" i="28"/>
  <c r="H30" i="28"/>
  <c r="H20" i="28"/>
  <c r="A129" i="28" l="1"/>
  <c r="A131" i="28" s="1"/>
  <c r="A132" i="28" s="1"/>
  <c r="A133" i="28" s="1"/>
  <c r="A134" i="28" s="1"/>
  <c r="A135" i="28" s="1"/>
  <c r="A136" i="28" s="1"/>
  <c r="A137" i="28" s="1"/>
  <c r="A138" i="28" s="1"/>
  <c r="A139" i="28" s="1"/>
  <c r="A140" i="28" s="1"/>
  <c r="A141" i="28" s="1"/>
  <c r="A142" i="28" s="1"/>
  <c r="A143" i="28" s="1"/>
  <c r="A144" i="28" s="1"/>
  <c r="A145" i="28" s="1"/>
  <c r="A146" i="28" s="1"/>
  <c r="A147" i="28" s="1"/>
  <c r="A148" i="28" s="1"/>
  <c r="A149" i="28" s="1"/>
  <c r="A150" i="28" s="1"/>
  <c r="A151" i="28" s="1"/>
  <c r="A152" i="28" s="1"/>
  <c r="A153" i="28" s="1"/>
  <c r="A154" i="28" s="1"/>
  <c r="A155" i="28" s="1"/>
  <c r="A156" i="28" s="1"/>
  <c r="A157" i="28" s="1"/>
  <c r="A158" i="28" s="1"/>
  <c r="A159" i="28" s="1"/>
  <c r="A160" i="28" s="1"/>
  <c r="A161" i="28" s="1"/>
  <c r="A162" i="28" s="1"/>
  <c r="A163" i="28" s="1"/>
  <c r="A164" i="28" s="1"/>
  <c r="A165" i="28" s="1"/>
  <c r="A166" i="28" s="1"/>
  <c r="A167" i="28" s="1"/>
  <c r="A168" i="28" s="1"/>
  <c r="A169" i="28" s="1"/>
  <c r="A171" i="28" s="1"/>
  <c r="A172" i="28" s="1"/>
  <c r="A173" i="28" s="1"/>
  <c r="A174" i="28" s="1"/>
  <c r="A175" i="28" s="1"/>
  <c r="A176" i="28" s="1"/>
  <c r="A177" i="28" s="1"/>
  <c r="A180" i="28" s="1"/>
  <c r="A181" i="28" s="1"/>
  <c r="A182" i="28" s="1"/>
  <c r="A183" i="28" s="1"/>
  <c r="A184" i="28" s="1"/>
  <c r="F43" i="33"/>
  <c r="J43" i="33" s="1"/>
  <c r="F42" i="33"/>
  <c r="J42" i="33" s="1"/>
  <c r="H43" i="33" l="1"/>
  <c r="H42" i="33"/>
  <c r="A185" i="28"/>
  <c r="A186" i="28" s="1"/>
  <c r="A187" i="28" s="1"/>
  <c r="A188" i="28" s="1"/>
  <c r="A189" i="28" s="1"/>
  <c r="A190" i="28" s="1"/>
  <c r="A191" i="28" s="1"/>
  <c r="A192" i="28" s="1"/>
  <c r="F160" i="28"/>
  <c r="D181" i="33" s="1"/>
  <c r="H398" i="22"/>
  <c r="K398" i="22" s="1"/>
  <c r="H399" i="22"/>
  <c r="K399" i="22" s="1"/>
  <c r="H401" i="22"/>
  <c r="K401" i="22" s="1"/>
  <c r="H402" i="22"/>
  <c r="K402" i="22" s="1"/>
  <c r="H396" i="22"/>
  <c r="K396" i="22" s="1"/>
  <c r="K397" i="22" s="1"/>
  <c r="K400" i="22" l="1"/>
  <c r="K403" i="22"/>
  <c r="A193" i="28"/>
  <c r="A197" i="28" s="1"/>
  <c r="A198" i="28" s="1"/>
  <c r="A199" i="28" s="1"/>
  <c r="A200" i="28" s="1"/>
  <c r="A201" i="28" s="1"/>
  <c r="A202" i="28" s="1"/>
  <c r="A203" i="28" s="1"/>
  <c r="A204" i="28" s="1"/>
  <c r="A205" i="28" s="1"/>
  <c r="A206" i="28" s="1"/>
  <c r="A207" i="28" s="1"/>
  <c r="A208" i="28" s="1"/>
  <c r="A209" i="28" s="1"/>
  <c r="A210" i="28" s="1"/>
  <c r="A211" i="28" s="1"/>
  <c r="A212" i="28" s="1"/>
  <c r="A213" i="28" s="1"/>
  <c r="A214" i="28" s="1"/>
  <c r="A215" i="28" s="1"/>
  <c r="A216" i="28" s="1"/>
  <c r="A217" i="28" s="1"/>
  <c r="A218" i="28" s="1"/>
  <c r="A219" i="28" s="1"/>
  <c r="A221" i="28" s="1"/>
  <c r="A222" i="28" s="1"/>
  <c r="A223" i="28" s="1"/>
  <c r="G160" i="28"/>
  <c r="E181" i="33" s="1"/>
  <c r="F157" i="28"/>
  <c r="D91" i="33" s="1"/>
  <c r="F158" i="28"/>
  <c r="D93" i="33" s="1"/>
  <c r="G157" i="28"/>
  <c r="E91" i="33" s="1"/>
  <c r="G158" i="28"/>
  <c r="E93" i="33" s="1"/>
  <c r="F79" i="28"/>
  <c r="F80" i="28" s="1"/>
  <c r="G79" i="28"/>
  <c r="A224" i="28" l="1"/>
  <c r="A225" i="28" s="1"/>
  <c r="A226" i="28" s="1"/>
  <c r="A227" i="28" s="1"/>
  <c r="A228" i="28" s="1"/>
  <c r="A229" i="28" s="1"/>
  <c r="A230" i="28" s="1"/>
  <c r="A231" i="28" s="1"/>
  <c r="A232" i="28" s="1"/>
  <c r="A233" i="28" s="1"/>
  <c r="A234" i="28" s="1"/>
  <c r="A235" i="28" s="1"/>
  <c r="A236" i="28" s="1"/>
  <c r="A237" i="28" s="1"/>
  <c r="A239" i="28" s="1"/>
  <c r="A240" i="28" s="1"/>
  <c r="A241" i="28" s="1"/>
  <c r="A242" i="28" s="1"/>
  <c r="E92" i="33"/>
  <c r="G80" i="28"/>
  <c r="D92" i="33"/>
  <c r="H160" i="28"/>
  <c r="F181" i="33" s="1"/>
  <c r="H181" i="33" s="1"/>
  <c r="H157" i="28"/>
  <c r="F91" i="33" s="1"/>
  <c r="H91" i="33" s="1"/>
  <c r="H79" i="28"/>
  <c r="H158" i="28"/>
  <c r="F93" i="33" s="1"/>
  <c r="H93" i="33" s="1"/>
  <c r="K79" i="28"/>
  <c r="F92" i="33" l="1"/>
  <c r="H92" i="33" s="1"/>
  <c r="H80" i="28"/>
  <c r="A244" i="28"/>
  <c r="A245" i="28" s="1"/>
  <c r="A246" i="28" s="1"/>
  <c r="A247" i="28" s="1"/>
  <c r="A248" i="28" s="1"/>
  <c r="A250" i="28" s="1"/>
  <c r="H98" i="28"/>
  <c r="F153" i="33" s="1"/>
  <c r="H153" i="33" s="1"/>
  <c r="A251" i="28" l="1"/>
  <c r="F100" i="28"/>
  <c r="D154" i="33" s="1"/>
  <c r="G100" i="28"/>
  <c r="E154" i="33" s="1"/>
  <c r="H96" i="28"/>
  <c r="F152" i="33" s="1"/>
  <c r="H152" i="33" s="1"/>
  <c r="E49" i="23"/>
  <c r="F49" i="23" s="1"/>
  <c r="E48" i="23"/>
  <c r="F48" i="23" s="1"/>
  <c r="F47" i="23"/>
  <c r="E46" i="23"/>
  <c r="F46" i="23" s="1"/>
  <c r="A253" i="28" l="1"/>
  <c r="A254" i="28" s="1"/>
  <c r="A255" i="28" s="1"/>
  <c r="A256" i="28" s="1"/>
  <c r="A257" i="28" s="1"/>
  <c r="A258" i="28" s="1"/>
  <c r="A265" i="28" s="1"/>
  <c r="A266" i="28" s="1"/>
  <c r="A267" i="28" s="1"/>
  <c r="A268" i="28" s="1"/>
  <c r="A269" i="28" s="1"/>
  <c r="A270" i="28" s="1"/>
  <c r="A271" i="28" s="1"/>
  <c r="A274" i="28" s="1"/>
  <c r="A275" i="28" s="1"/>
  <c r="H100" i="28"/>
  <c r="F154" i="33" s="1"/>
  <c r="H154" i="33" s="1"/>
  <c r="H387" i="22" l="1"/>
  <c r="F111" i="28" l="1"/>
  <c r="G111" i="28"/>
  <c r="H110" i="28" l="1"/>
  <c r="F196" i="33" s="1"/>
  <c r="H196" i="33" s="1"/>
  <c r="H111" i="28"/>
  <c r="K111" i="28"/>
  <c r="G106" i="28" l="1"/>
  <c r="H168" i="22"/>
  <c r="H167" i="22"/>
  <c r="F106" i="28" l="1"/>
  <c r="D17" i="33" s="1"/>
  <c r="E17" i="33" l="1"/>
  <c r="H106" i="28"/>
  <c r="F17" i="33" l="1"/>
  <c r="E12" i="23"/>
  <c r="F12" i="23" s="1"/>
  <c r="H17" i="33" l="1"/>
  <c r="J17" i="33"/>
  <c r="O20" i="32"/>
  <c r="O22" i="32" s="1"/>
  <c r="F39" i="28" l="1"/>
  <c r="F40" i="28" l="1"/>
  <c r="D77" i="33"/>
  <c r="H753" i="22"/>
  <c r="K753" i="22" s="1"/>
  <c r="H752" i="22"/>
  <c r="K752" i="22" s="1"/>
  <c r="K754" i="22" l="1"/>
  <c r="F52" i="28"/>
  <c r="D167" i="33" s="1"/>
  <c r="G181" i="28" l="1"/>
  <c r="F181" i="28"/>
  <c r="D88" i="33" l="1"/>
  <c r="E88" i="33"/>
  <c r="H181" i="28"/>
  <c r="F88" i="33" l="1"/>
  <c r="H88" i="33" s="1"/>
  <c r="H734" i="22"/>
  <c r="H733" i="22"/>
  <c r="G153" i="28" l="1"/>
  <c r="E138" i="33" s="1"/>
  <c r="F153" i="28"/>
  <c r="D138" i="33" s="1"/>
  <c r="H153" i="28" l="1"/>
  <c r="F138" i="33" s="1"/>
  <c r="H138" i="33" s="1"/>
  <c r="H495" i="22" l="1"/>
  <c r="H496" i="22"/>
  <c r="H599" i="22" l="1"/>
  <c r="H600" i="22"/>
  <c r="G9" i="28" l="1"/>
  <c r="E113" i="33" s="1"/>
  <c r="H828" i="22"/>
  <c r="H827" i="22"/>
  <c r="G176" i="28" l="1"/>
  <c r="E156" i="33" s="1"/>
  <c r="F176" i="28"/>
  <c r="D156" i="33" s="1"/>
  <c r="H176" i="28" l="1"/>
  <c r="F156" i="33" s="1"/>
  <c r="H156" i="33" s="1"/>
  <c r="H382" i="22" l="1"/>
  <c r="F204" i="28" l="1"/>
  <c r="G204" i="28"/>
  <c r="H204" i="28" l="1"/>
  <c r="H528" i="22" l="1"/>
  <c r="H527" i="22"/>
  <c r="H542" i="22"/>
  <c r="H543" i="22"/>
  <c r="H544" i="22"/>
  <c r="H545" i="22"/>
  <c r="H541" i="22"/>
  <c r="H540" i="22"/>
  <c r="H539" i="22"/>
  <c r="H538" i="22"/>
  <c r="G151" i="28" l="1"/>
  <c r="E60" i="33" s="1"/>
  <c r="F151" i="28"/>
  <c r="D60" i="33" s="1"/>
  <c r="H151" i="28" l="1"/>
  <c r="F60" i="33" s="1"/>
  <c r="H60" i="33" s="1"/>
  <c r="G150" i="28"/>
  <c r="E63" i="33" s="1"/>
  <c r="F150" i="28"/>
  <c r="D63" i="33" s="1"/>
  <c r="H390" i="22"/>
  <c r="H389" i="22"/>
  <c r="H150" i="28" l="1"/>
  <c r="F63" i="33" s="1"/>
  <c r="H63" i="33" s="1"/>
  <c r="G231" i="28"/>
  <c r="E89" i="33" s="1"/>
  <c r="F231" i="28"/>
  <c r="D89" i="33" s="1"/>
  <c r="H231" i="28" l="1"/>
  <c r="F89" i="33" s="1"/>
  <c r="H89" i="33" s="1"/>
  <c r="H625" i="22" l="1"/>
  <c r="H620" i="22"/>
  <c r="H619" i="22"/>
  <c r="F37" i="28" l="1"/>
  <c r="D116" i="33" s="1"/>
  <c r="H840" i="22"/>
  <c r="H839" i="22"/>
  <c r="F154" i="28" l="1"/>
  <c r="D158" i="33" s="1"/>
  <c r="H149" i="28"/>
  <c r="F195" i="33" s="1"/>
  <c r="H195" i="33" s="1"/>
  <c r="G154" i="28"/>
  <c r="E158" i="33" s="1"/>
  <c r="G37" i="28"/>
  <c r="E116" i="33" s="1"/>
  <c r="H37" i="28" l="1"/>
  <c r="F116" i="33" s="1"/>
  <c r="H154" i="28"/>
  <c r="F158" i="33" s="1"/>
  <c r="H158" i="33" s="1"/>
  <c r="H116" i="33" l="1"/>
  <c r="F121" i="28"/>
  <c r="D20" i="33" s="1"/>
  <c r="G121" i="28"/>
  <c r="E20" i="33" l="1"/>
  <c r="F203" i="28"/>
  <c r="D55" i="33" s="1"/>
  <c r="H121" i="28"/>
  <c r="F20" i="33" l="1"/>
  <c r="E24" i="23"/>
  <c r="F24" i="23" s="1"/>
  <c r="E17" i="23"/>
  <c r="F17" i="23" s="1"/>
  <c r="E14" i="23"/>
  <c r="F14" i="23" s="1"/>
  <c r="E11" i="23"/>
  <c r="F11" i="23" s="1"/>
  <c r="H20" i="33" l="1"/>
  <c r="J20" i="33"/>
  <c r="E25" i="23"/>
  <c r="F25" i="23" s="1"/>
  <c r="G203" i="28" l="1"/>
  <c r="E55" i="33" s="1"/>
  <c r="H203" i="28" l="1"/>
  <c r="F55" i="33" s="1"/>
  <c r="H55" i="33" s="1"/>
  <c r="H137" i="22" l="1"/>
  <c r="H138" i="22"/>
  <c r="H136" i="22" l="1"/>
  <c r="H697" i="22"/>
  <c r="K697" i="22" s="1"/>
  <c r="K701" i="22" s="1"/>
  <c r="F183" i="28" l="1"/>
  <c r="H825" i="22"/>
  <c r="H824" i="22"/>
  <c r="D129" i="33" l="1"/>
  <c r="H183" i="28"/>
  <c r="F125" i="28"/>
  <c r="D155" i="33" s="1"/>
  <c r="G125" i="28"/>
  <c r="E155" i="33" s="1"/>
  <c r="F129" i="33" l="1"/>
  <c r="H125" i="28"/>
  <c r="F155" i="33" s="1"/>
  <c r="H155" i="33" s="1"/>
  <c r="H386" i="22"/>
  <c r="H129" i="33" l="1"/>
  <c r="H61" i="22"/>
  <c r="H1061" i="22"/>
  <c r="H1060" i="22"/>
  <c r="F174" i="28" l="1"/>
  <c r="D32" i="33" s="1"/>
  <c r="H50" i="22" l="1"/>
  <c r="H49" i="22"/>
  <c r="H718" i="22"/>
  <c r="H719" i="22"/>
  <c r="G148" i="28" l="1"/>
  <c r="F148" i="28"/>
  <c r="D35" i="33" s="1"/>
  <c r="E35" i="33" l="1"/>
  <c r="H148" i="28"/>
  <c r="H523" i="22"/>
  <c r="F35" i="33" l="1"/>
  <c r="F15" i="25"/>
  <c r="F16" i="25"/>
  <c r="F9" i="25"/>
  <c r="F10" i="25"/>
  <c r="F7" i="25"/>
  <c r="H842" i="22"/>
  <c r="H35" i="33" l="1"/>
  <c r="J35" i="33"/>
  <c r="F274" i="28"/>
  <c r="H277" i="22"/>
  <c r="H276" i="22"/>
  <c r="H731" i="22"/>
  <c r="H730" i="22"/>
  <c r="D159" i="33" l="1"/>
  <c r="H274" i="28"/>
  <c r="F159" i="33" s="1"/>
  <c r="H159" i="33" s="1"/>
  <c r="G174" i="28"/>
  <c r="G147" i="28"/>
  <c r="E137" i="33" s="1"/>
  <c r="F147" i="28"/>
  <c r="D137" i="33" s="1"/>
  <c r="H174" i="28" l="1"/>
  <c r="E32" i="33"/>
  <c r="H147" i="28"/>
  <c r="F137" i="33" s="1"/>
  <c r="H137" i="33" s="1"/>
  <c r="F32" i="33" l="1"/>
  <c r="H274" i="22"/>
  <c r="H273" i="22"/>
  <c r="F175" i="28"/>
  <c r="D33" i="33" s="1"/>
  <c r="H271" i="22"/>
  <c r="H270" i="22"/>
  <c r="H32" i="33" l="1"/>
  <c r="J32" i="33"/>
  <c r="F171" i="28"/>
  <c r="G175" i="28"/>
  <c r="G171" i="28"/>
  <c r="D34" i="33" l="1"/>
  <c r="E34" i="33"/>
  <c r="H175" i="28"/>
  <c r="E33" i="33"/>
  <c r="H171" i="28"/>
  <c r="H533" i="22"/>
  <c r="H534" i="22"/>
  <c r="F34" i="33" l="1"/>
  <c r="J34" i="33" s="1"/>
  <c r="F33" i="33"/>
  <c r="H39" i="22"/>
  <c r="H40" i="22"/>
  <c r="H33" i="33" l="1"/>
  <c r="J33" i="33"/>
  <c r="H34" i="33"/>
  <c r="G15" i="28"/>
  <c r="H822" i="22"/>
  <c r="H821" i="22"/>
  <c r="H206" i="22" l="1"/>
  <c r="H205" i="22"/>
  <c r="H1001" i="22"/>
  <c r="H1000" i="22"/>
  <c r="G173" i="28" l="1"/>
  <c r="E209" i="33" s="1"/>
  <c r="F173" i="28"/>
  <c r="D209" i="33" s="1"/>
  <c r="F146" i="28"/>
  <c r="D28" i="33" s="1"/>
  <c r="G146" i="28"/>
  <c r="H490" i="22"/>
  <c r="H489" i="22"/>
  <c r="E28" i="33" l="1"/>
  <c r="H173" i="28"/>
  <c r="F209" i="33" s="1"/>
  <c r="H209" i="33" s="1"/>
  <c r="F172" i="28"/>
  <c r="F178" i="28" s="1"/>
  <c r="H146" i="28"/>
  <c r="G172" i="28"/>
  <c r="E54" i="33" l="1"/>
  <c r="G178" i="28"/>
  <c r="D54" i="33"/>
  <c r="F28" i="33"/>
  <c r="H172" i="28"/>
  <c r="H746" i="22"/>
  <c r="K746" i="22" s="1"/>
  <c r="K748" i="22" s="1"/>
  <c r="K772" i="22" s="1"/>
  <c r="H28" i="33" l="1"/>
  <c r="J28" i="33"/>
  <c r="F54" i="33"/>
  <c r="H54" i="33" s="1"/>
  <c r="H178" i="28"/>
  <c r="K178" i="28"/>
  <c r="H573" i="22"/>
  <c r="H574" i="22"/>
  <c r="H575" i="22"/>
  <c r="H1081" i="22" l="1"/>
  <c r="K1081" i="22" s="1"/>
  <c r="H1080" i="22"/>
  <c r="K1080" i="22" s="1"/>
  <c r="K1082" i="22" l="1"/>
  <c r="F218" i="28"/>
  <c r="D223" i="33" s="1"/>
  <c r="G218" i="28"/>
  <c r="E223" i="33" s="1"/>
  <c r="H218" i="28" l="1"/>
  <c r="F223" i="33" s="1"/>
  <c r="H223" i="33" l="1"/>
  <c r="J223" i="33"/>
  <c r="F228" i="28"/>
  <c r="D169" i="33" s="1"/>
  <c r="H231" i="22" l="1"/>
  <c r="H172" i="22"/>
  <c r="H173" i="22"/>
  <c r="H230" i="22"/>
  <c r="G99" i="28" l="1"/>
  <c r="F99" i="28"/>
  <c r="D7" i="33" s="1"/>
  <c r="R1019" i="22"/>
  <c r="R1020" i="22"/>
  <c r="H1019" i="22"/>
  <c r="H1020" i="22"/>
  <c r="E7" i="33" l="1"/>
  <c r="H99" i="28"/>
  <c r="E54" i="23"/>
  <c r="E37" i="23"/>
  <c r="F37" i="23" s="1"/>
  <c r="E38" i="23"/>
  <c r="F38" i="23" s="1"/>
  <c r="E39" i="23"/>
  <c r="F39" i="23" s="1"/>
  <c r="E40" i="23"/>
  <c r="F40" i="23" s="1"/>
  <c r="E43" i="23"/>
  <c r="F43" i="23" s="1"/>
  <c r="E44" i="23"/>
  <c r="F44" i="23" s="1"/>
  <c r="F7" i="33" l="1"/>
  <c r="H96" i="22"/>
  <c r="H97" i="22"/>
  <c r="H7" i="33" l="1"/>
  <c r="J7" i="33"/>
  <c r="H497" i="22"/>
  <c r="H498" i="22"/>
  <c r="E28" i="23" l="1"/>
  <c r="F28" i="23" s="1"/>
  <c r="E29" i="23"/>
  <c r="F29" i="23" s="1"/>
  <c r="G202" i="28" l="1"/>
  <c r="E56" i="33" s="1"/>
  <c r="H725" i="22"/>
  <c r="H726" i="22"/>
  <c r="H870" i="22" l="1"/>
  <c r="H869" i="22"/>
  <c r="F43" i="28" l="1"/>
  <c r="D178" i="33" s="1"/>
  <c r="G43" i="28"/>
  <c r="E178" i="33" s="1"/>
  <c r="H43" i="28" l="1"/>
  <c r="F178" i="33" s="1"/>
  <c r="H178" i="33" s="1"/>
  <c r="H53" i="22"/>
  <c r="H54" i="22"/>
  <c r="H55" i="22"/>
  <c r="H52" i="22"/>
  <c r="F145" i="28" l="1"/>
  <c r="D27" i="33" s="1"/>
  <c r="G145" i="28"/>
  <c r="E27" i="33" l="1"/>
  <c r="H145" i="28"/>
  <c r="H378" i="22"/>
  <c r="H379" i="22"/>
  <c r="H380" i="22"/>
  <c r="H381" i="22"/>
  <c r="F27" i="33" l="1"/>
  <c r="C14" i="24"/>
  <c r="C13" i="24"/>
  <c r="C16" i="24"/>
  <c r="C15" i="24"/>
  <c r="C10" i="24"/>
  <c r="C11" i="24"/>
  <c r="H27" i="33" l="1"/>
  <c r="J27" i="33"/>
  <c r="F34" i="28"/>
  <c r="D87" i="33" s="1"/>
  <c r="G34" i="28"/>
  <c r="E87" i="33" s="1"/>
  <c r="E50" i="23"/>
  <c r="F50" i="23" s="1"/>
  <c r="H34" i="28" l="1"/>
  <c r="F87" i="33" s="1"/>
  <c r="H87" i="33" s="1"/>
  <c r="H129" i="22" l="1"/>
  <c r="H128" i="22"/>
  <c r="H126" i="22"/>
  <c r="H125" i="22"/>
  <c r="H124" i="22"/>
  <c r="H241" i="22" l="1"/>
  <c r="H242" i="22"/>
  <c r="F120" i="28" l="1"/>
  <c r="D4" i="33" s="1"/>
  <c r="F225" i="28"/>
  <c r="D10" i="33" s="1"/>
  <c r="H695" i="22" l="1"/>
  <c r="H694" i="22"/>
  <c r="G124" i="28" l="1"/>
  <c r="E128" i="33" s="1"/>
  <c r="F124" i="28"/>
  <c r="D128" i="33" s="1"/>
  <c r="H724" i="22"/>
  <c r="H723" i="22"/>
  <c r="H717" i="22"/>
  <c r="H124" i="28" l="1"/>
  <c r="F128" i="33" s="1"/>
  <c r="F180" i="28"/>
  <c r="F194" i="28" s="1"/>
  <c r="G143" i="28"/>
  <c r="E135" i="33" s="1"/>
  <c r="G180" i="28"/>
  <c r="G194" i="28" s="1"/>
  <c r="H128" i="33" l="1"/>
  <c r="E136" i="33"/>
  <c r="D136" i="33"/>
  <c r="F222" i="28"/>
  <c r="G222" i="28"/>
  <c r="E206" i="33" s="1"/>
  <c r="H180" i="28"/>
  <c r="H194" i="28" s="1"/>
  <c r="D206" i="33" l="1"/>
  <c r="K194" i="28"/>
  <c r="F136" i="33"/>
  <c r="H136" i="33" s="1"/>
  <c r="H222" i="28"/>
  <c r="F206" i="33" s="1"/>
  <c r="H206" i="33" s="1"/>
  <c r="H441" i="22" l="1"/>
  <c r="H442" i="22"/>
  <c r="F205" i="28" l="1"/>
  <c r="D58" i="33" s="1"/>
  <c r="H1066" i="22" l="1"/>
  <c r="K1066" i="22" s="1"/>
  <c r="K1069" i="22" s="1"/>
  <c r="K1076" i="22" s="1"/>
  <c r="R1018" i="22"/>
  <c r="R1017" i="22"/>
  <c r="F97" i="28" l="1"/>
  <c r="D208" i="33" l="1"/>
  <c r="G205" i="28"/>
  <c r="E58" i="33" s="1"/>
  <c r="H205" i="28" l="1"/>
  <c r="F58" i="33" s="1"/>
  <c r="H58" i="33" s="1"/>
  <c r="F118" i="28" l="1"/>
  <c r="D134" i="33" s="1"/>
  <c r="G90" i="28" l="1"/>
  <c r="E51" i="33" s="1"/>
  <c r="H259" i="22"/>
  <c r="H260" i="22"/>
  <c r="F57" i="28" l="1"/>
  <c r="D172" i="33" s="1"/>
  <c r="H787" i="22"/>
  <c r="H788" i="22"/>
  <c r="H377" i="22" l="1"/>
  <c r="H376" i="22"/>
  <c r="H484" i="22" l="1"/>
  <c r="H485" i="22"/>
  <c r="H690" i="22" l="1"/>
  <c r="H689" i="22"/>
  <c r="F217" i="28" l="1"/>
  <c r="D127" i="33" s="1"/>
  <c r="G217" i="28"/>
  <c r="E127" i="33" s="1"/>
  <c r="H1018" i="22"/>
  <c r="H1016" i="22"/>
  <c r="H217" i="28" l="1"/>
  <c r="F127" i="33" s="1"/>
  <c r="G97" i="28"/>
  <c r="E208" i="33" l="1"/>
  <c r="H127" i="33"/>
  <c r="H97" i="28"/>
  <c r="H472" i="22"/>
  <c r="F208" i="33" l="1"/>
  <c r="H208" i="33" s="1"/>
  <c r="H471" i="22"/>
  <c r="H470" i="22"/>
  <c r="F90" i="28" l="1"/>
  <c r="H437" i="22"/>
  <c r="H433" i="22"/>
  <c r="H431" i="22"/>
  <c r="H432" i="22"/>
  <c r="H90" i="28" l="1"/>
  <c r="F51" i="33" s="1"/>
  <c r="H51" i="33" s="1"/>
  <c r="D51" i="33"/>
  <c r="F85" i="28"/>
  <c r="F84" i="28"/>
  <c r="H763" i="22" l="1"/>
  <c r="H762" i="22"/>
  <c r="G57" i="28" l="1"/>
  <c r="E172" i="33" s="1"/>
  <c r="H459" i="22"/>
  <c r="H268" i="22"/>
  <c r="H458" i="22"/>
  <c r="H57" i="28" l="1"/>
  <c r="F172" i="33" s="1"/>
  <c r="H172" i="33" s="1"/>
  <c r="G88" i="28"/>
  <c r="E49" i="33" s="1"/>
  <c r="G144" i="28"/>
  <c r="F144" i="28"/>
  <c r="D25" i="33" s="1"/>
  <c r="H267" i="22"/>
  <c r="H716" i="22"/>
  <c r="E25" i="33" l="1"/>
  <c r="H144" i="28"/>
  <c r="H670" i="22"/>
  <c r="H669" i="22"/>
  <c r="F25" i="33" l="1"/>
  <c r="C9" i="24"/>
  <c r="H517" i="22"/>
  <c r="H518" i="22"/>
  <c r="H25" i="33" l="1"/>
  <c r="J25" i="33"/>
  <c r="F143" i="28"/>
  <c r="D135" i="33" s="1"/>
  <c r="C8" i="24"/>
  <c r="C19" i="24" s="1"/>
  <c r="H143" i="28" l="1"/>
  <c r="F135" i="33" s="1"/>
  <c r="H135" i="33" s="1"/>
  <c r="E35" i="23" l="1"/>
  <c r="F35" i="23" s="1"/>
  <c r="E19" i="23" l="1"/>
  <c r="F19" i="23" s="1"/>
  <c r="E20" i="23"/>
  <c r="F20" i="23" s="1"/>
  <c r="E21" i="23"/>
  <c r="F21" i="23" s="1"/>
  <c r="E22" i="23"/>
  <c r="F22" i="23" s="1"/>
  <c r="E18" i="23"/>
  <c r="F18" i="23" s="1"/>
  <c r="E41" i="23"/>
  <c r="F41" i="23" s="1"/>
  <c r="E32" i="23"/>
  <c r="F32" i="23" s="1"/>
  <c r="E26" i="23"/>
  <c r="F26" i="23" s="1"/>
  <c r="E13" i="23"/>
  <c r="F13" i="23" s="1"/>
  <c r="G32" i="28" l="1"/>
  <c r="E114" i="33" s="1"/>
  <c r="E51" i="23"/>
  <c r="F51" i="23" s="1"/>
  <c r="O27" i="32"/>
  <c r="O28" i="32" s="1"/>
  <c r="F32" i="28" l="1"/>
  <c r="H32" i="28" l="1"/>
  <c r="F114" i="33" s="1"/>
  <c r="D114" i="33"/>
  <c r="F8" i="25"/>
  <c r="H76" i="22"/>
  <c r="H77" i="22"/>
  <c r="H78" i="22"/>
  <c r="H75" i="22"/>
  <c r="H465" i="22"/>
  <c r="H464" i="22"/>
  <c r="H657" i="22"/>
  <c r="H83" i="22"/>
  <c r="H84" i="22"/>
  <c r="H85" i="22"/>
  <c r="H82" i="22"/>
  <c r="H105" i="22"/>
  <c r="H104" i="22"/>
  <c r="H102" i="22"/>
  <c r="H101" i="22"/>
  <c r="H1042" i="22"/>
  <c r="H1078" i="22"/>
  <c r="K1078" i="22" s="1"/>
  <c r="K1079" i="22" s="1"/>
  <c r="H366" i="22"/>
  <c r="H367" i="22"/>
  <c r="H368" i="22"/>
  <c r="H466" i="22"/>
  <c r="H203" i="22"/>
  <c r="H202" i="22"/>
  <c r="H571" i="22"/>
  <c r="K571" i="22" s="1"/>
  <c r="H572" i="22"/>
  <c r="K572" i="22" s="1"/>
  <c r="H94" i="22"/>
  <c r="H95" i="22"/>
  <c r="H301" i="22"/>
  <c r="H302" i="22"/>
  <c r="H352" i="22"/>
  <c r="H756" i="22"/>
  <c r="H250" i="22"/>
  <c r="H249" i="22"/>
  <c r="H113" i="22"/>
  <c r="K113" i="22" s="1"/>
  <c r="K115" i="22" s="1"/>
  <c r="K117" i="22" s="1"/>
  <c r="H796" i="22"/>
  <c r="H755" i="22"/>
  <c r="H597" i="22"/>
  <c r="H444" i="22"/>
  <c r="K444" i="22" s="1"/>
  <c r="K450" i="22" s="1"/>
  <c r="K451" i="22" s="1"/>
  <c r="H514" i="22"/>
  <c r="H438" i="22"/>
  <c r="H285" i="22"/>
  <c r="H286" i="22"/>
  <c r="H713" i="22"/>
  <c r="H714" i="22"/>
  <c r="H747" i="22"/>
  <c r="H64" i="22"/>
  <c r="H60" i="22"/>
  <c r="H62" i="22"/>
  <c r="H63" i="22"/>
  <c r="H65" i="22"/>
  <c r="H66" i="22"/>
  <c r="H59" i="22"/>
  <c r="H683" i="22"/>
  <c r="H682" i="22"/>
  <c r="H759" i="22"/>
  <c r="H199" i="22"/>
  <c r="H198" i="22"/>
  <c r="H187" i="22"/>
  <c r="H186" i="22"/>
  <c r="H596" i="22"/>
  <c r="H455" i="22"/>
  <c r="H374" i="22"/>
  <c r="H373" i="22"/>
  <c r="H531" i="22"/>
  <c r="H530" i="22"/>
  <c r="H435" i="22"/>
  <c r="H817" i="22"/>
  <c r="H813" i="22"/>
  <c r="H5" i="22"/>
  <c r="H20" i="22"/>
  <c r="H21" i="22"/>
  <c r="H22" i="22"/>
  <c r="H23" i="22"/>
  <c r="H24" i="22"/>
  <c r="H25" i="22"/>
  <c r="H26" i="22"/>
  <c r="H27" i="22"/>
  <c r="H28" i="22"/>
  <c r="H29" i="22"/>
  <c r="H30" i="22"/>
  <c r="H34" i="22"/>
  <c r="H35" i="22"/>
  <c r="H36" i="22"/>
  <c r="H37" i="22"/>
  <c r="H38" i="22"/>
  <c r="H132" i="22"/>
  <c r="H133" i="22"/>
  <c r="H214" i="22"/>
  <c r="K214" i="22" s="1"/>
  <c r="H215" i="22"/>
  <c r="K215" i="22" s="1"/>
  <c r="H217" i="22"/>
  <c r="K217" i="22" s="1"/>
  <c r="H218" i="22"/>
  <c r="K218" i="22" s="1"/>
  <c r="G95" i="28"/>
  <c r="H224" i="22"/>
  <c r="H226" i="22"/>
  <c r="H227" i="22"/>
  <c r="H232" i="22"/>
  <c r="H233" i="22"/>
  <c r="H235" i="22"/>
  <c r="H236" i="22"/>
  <c r="H239" i="22"/>
  <c r="H240" i="22"/>
  <c r="H254" i="22"/>
  <c r="K254" i="22" s="1"/>
  <c r="K256" i="22" s="1"/>
  <c r="H255" i="22"/>
  <c r="H257" i="22"/>
  <c r="H258" i="22"/>
  <c r="H264" i="22"/>
  <c r="H265" i="22"/>
  <c r="H192" i="22"/>
  <c r="H193" i="22"/>
  <c r="H135" i="22"/>
  <c r="H145" i="22"/>
  <c r="H146" i="22"/>
  <c r="H159" i="22"/>
  <c r="H195" i="22"/>
  <c r="H196" i="22"/>
  <c r="H89" i="22"/>
  <c r="H90" i="22"/>
  <c r="G134" i="28"/>
  <c r="H155" i="22"/>
  <c r="H156" i="22"/>
  <c r="H309" i="22"/>
  <c r="K309" i="22" s="1"/>
  <c r="H310" i="22"/>
  <c r="K310" i="22" s="1"/>
  <c r="H312" i="22"/>
  <c r="K312" i="22" s="1"/>
  <c r="H313" i="22"/>
  <c r="K313" i="22" s="1"/>
  <c r="H314" i="22"/>
  <c r="K314" i="22" s="1"/>
  <c r="H334" i="22"/>
  <c r="F7" i="28"/>
  <c r="H336" i="22"/>
  <c r="H337" i="22"/>
  <c r="H340" i="22"/>
  <c r="H341" i="22"/>
  <c r="H343" i="22"/>
  <c r="H344" i="22"/>
  <c r="H346" i="22"/>
  <c r="H349" i="22"/>
  <c r="H283" i="22"/>
  <c r="H284" i="22"/>
  <c r="H290" i="22"/>
  <c r="H291" i="22"/>
  <c r="H292" i="22"/>
  <c r="H299" i="22"/>
  <c r="H300" i="22"/>
  <c r="H353" i="22"/>
  <c r="H355" i="22"/>
  <c r="H356" i="22"/>
  <c r="H358" i="22"/>
  <c r="H359" i="22"/>
  <c r="H361" i="22"/>
  <c r="H362" i="22"/>
  <c r="H364" i="22"/>
  <c r="H365" i="22"/>
  <c r="H370" i="22"/>
  <c r="H371" i="22"/>
  <c r="H430" i="22"/>
  <c r="H434" i="22"/>
  <c r="H436" i="22"/>
  <c r="H440" i="22"/>
  <c r="H492" i="22"/>
  <c r="H493" i="22"/>
  <c r="H500" i="22"/>
  <c r="H501" i="22"/>
  <c r="H506" i="22"/>
  <c r="H507" i="22"/>
  <c r="H452" i="22"/>
  <c r="H509" i="22"/>
  <c r="H510" i="22"/>
  <c r="H512" i="22"/>
  <c r="H513" i="22"/>
  <c r="H522" i="22"/>
  <c r="H525" i="22"/>
  <c r="H526" i="22"/>
  <c r="H558" i="22"/>
  <c r="H559" i="22"/>
  <c r="H561" i="22"/>
  <c r="H562" i="22"/>
  <c r="H568" i="22"/>
  <c r="H569" i="22"/>
  <c r="H570" i="22"/>
  <c r="H582" i="22"/>
  <c r="H583" i="22"/>
  <c r="H584" i="22"/>
  <c r="H585" i="22"/>
  <c r="H588" i="22"/>
  <c r="H589" i="22"/>
  <c r="F9" i="28"/>
  <c r="H698" i="22"/>
  <c r="H699" i="22"/>
  <c r="H635" i="22"/>
  <c r="H636" i="22"/>
  <c r="H638" i="22"/>
  <c r="H639" i="22"/>
  <c r="H640" i="22"/>
  <c r="H641" i="22"/>
  <c r="H642" i="22"/>
  <c r="H643" i="22"/>
  <c r="H645" i="22"/>
  <c r="H648" i="22"/>
  <c r="G26" i="28"/>
  <c r="H654" i="22"/>
  <c r="H655" i="22"/>
  <c r="H656" i="22"/>
  <c r="H658" i="22"/>
  <c r="H659" i="22"/>
  <c r="H663" i="22"/>
  <c r="H664" i="22"/>
  <c r="H667" i="22"/>
  <c r="H672" i="22"/>
  <c r="H673" i="22"/>
  <c r="H749" i="22"/>
  <c r="H750" i="22"/>
  <c r="H758" i="22"/>
  <c r="H773" i="22"/>
  <c r="H774" i="22"/>
  <c r="H776" i="22"/>
  <c r="H778" i="22"/>
  <c r="H779" i="22"/>
  <c r="H782" i="22"/>
  <c r="H783" i="22"/>
  <c r="H784" i="22"/>
  <c r="H785" i="22"/>
  <c r="K785" i="22" s="1"/>
  <c r="K786" i="22" s="1"/>
  <c r="H795" i="22"/>
  <c r="H797" i="22"/>
  <c r="H799" i="22"/>
  <c r="H800" i="22"/>
  <c r="H802" i="22"/>
  <c r="H803" i="22"/>
  <c r="H804" i="22"/>
  <c r="H807" i="22"/>
  <c r="H808" i="22"/>
  <c r="H810" i="22"/>
  <c r="H811" i="22"/>
  <c r="H860" i="22"/>
  <c r="F41" i="28"/>
  <c r="D177" i="33"/>
  <c r="H866" i="22"/>
  <c r="H875" i="22"/>
  <c r="H876" i="22"/>
  <c r="H878" i="22"/>
  <c r="H879" i="22"/>
  <c r="H902" i="22"/>
  <c r="H903" i="22"/>
  <c r="H905" i="22"/>
  <c r="H906" i="22"/>
  <c r="H907" i="22"/>
  <c r="H909" i="22"/>
  <c r="H910" i="22"/>
  <c r="H911" i="22"/>
  <c r="H914" i="22"/>
  <c r="H915" i="22"/>
  <c r="H917" i="22"/>
  <c r="H918" i="22"/>
  <c r="H921" i="22"/>
  <c r="H923" i="22"/>
  <c r="H924" i="22"/>
  <c r="H927" i="22"/>
  <c r="H929" i="22"/>
  <c r="H930" i="22"/>
  <c r="H991" i="22"/>
  <c r="H992" i="22"/>
  <c r="H994" i="22"/>
  <c r="H995" i="22"/>
  <c r="H997" i="22"/>
  <c r="H998" i="22"/>
  <c r="H1010" i="22"/>
  <c r="H1011" i="22"/>
  <c r="H1012" i="22"/>
  <c r="H1013" i="22"/>
  <c r="H1028" i="22"/>
  <c r="H1032" i="22"/>
  <c r="H1039" i="22"/>
  <c r="K1039" i="22" s="1"/>
  <c r="K1041" i="22" s="1"/>
  <c r="K1043" i="22" s="1"/>
  <c r="H1040" i="22"/>
  <c r="H1044" i="22"/>
  <c r="H1045" i="22"/>
  <c r="H1046" i="22"/>
  <c r="H1048" i="22"/>
  <c r="H1052" i="22"/>
  <c r="H1053" i="22"/>
  <c r="H1055" i="22"/>
  <c r="H1056" i="22"/>
  <c r="H1057" i="22"/>
  <c r="H1064" i="22"/>
  <c r="K1064" i="22" s="1"/>
  <c r="K1065" i="22" s="1"/>
  <c r="E1118" i="22"/>
  <c r="E1119" i="22"/>
  <c r="E1120" i="22"/>
  <c r="K1113" i="22" l="1"/>
  <c r="K219" i="22"/>
  <c r="K581" i="22"/>
  <c r="K587" i="22" s="1"/>
  <c r="K598" i="22" s="1"/>
  <c r="K216" i="22"/>
  <c r="K316" i="22"/>
  <c r="K992" i="22"/>
  <c r="K993" i="22" s="1"/>
  <c r="K311" i="22"/>
  <c r="G41" i="28"/>
  <c r="G44" i="28" s="1"/>
  <c r="H114" i="33"/>
  <c r="D78" i="33"/>
  <c r="G61" i="28"/>
  <c r="H61" i="28" s="1"/>
  <c r="F179" i="33" s="1"/>
  <c r="F95" i="28"/>
  <c r="D14" i="33" s="1"/>
  <c r="H9" i="28"/>
  <c r="F113" i="33" s="1"/>
  <c r="D113" i="33"/>
  <c r="E19" i="33"/>
  <c r="G25" i="28"/>
  <c r="E119" i="33" s="1"/>
  <c r="G103" i="28"/>
  <c r="F103" i="28"/>
  <c r="D15" i="33" s="1"/>
  <c r="F134" i="28"/>
  <c r="D19" i="33" s="1"/>
  <c r="G10" i="28"/>
  <c r="G23" i="28"/>
  <c r="G123" i="28"/>
  <c r="E126" i="33" s="1"/>
  <c r="F123" i="28"/>
  <c r="D126" i="33" s="1"/>
  <c r="G54" i="28"/>
  <c r="E220" i="33" s="1"/>
  <c r="G228" i="28"/>
  <c r="E169" i="33" s="1"/>
  <c r="G224" i="28"/>
  <c r="F70" i="28"/>
  <c r="F223" i="28"/>
  <c r="H42" i="28"/>
  <c r="F177" i="33" s="1"/>
  <c r="H177" i="33" s="1"/>
  <c r="G232" i="28"/>
  <c r="E168" i="33" s="1"/>
  <c r="G230" i="28"/>
  <c r="E84" i="33" s="1"/>
  <c r="F24" i="28"/>
  <c r="F88" i="28"/>
  <c r="D49" i="33" s="1"/>
  <c r="F86" i="28"/>
  <c r="G89" i="28"/>
  <c r="E50" i="33" s="1"/>
  <c r="G227" i="28"/>
  <c r="G199" i="28"/>
  <c r="F56" i="28"/>
  <c r="D192" i="33" s="1"/>
  <c r="G70" i="28"/>
  <c r="G24" i="28"/>
  <c r="F23" i="28"/>
  <c r="G229" i="28"/>
  <c r="G63" i="28"/>
  <c r="G223" i="28"/>
  <c r="E205" i="33" s="1"/>
  <c r="F55" i="28"/>
  <c r="D191" i="33" s="1"/>
  <c r="F28" i="28"/>
  <c r="D146" i="33" s="1"/>
  <c r="F49" i="28"/>
  <c r="D83" i="33" s="1"/>
  <c r="F206" i="28"/>
  <c r="D123" i="33" s="1"/>
  <c r="G11" i="28"/>
  <c r="F11" i="28"/>
  <c r="F15" i="28"/>
  <c r="H15" i="28" s="1"/>
  <c r="F14" i="28"/>
  <c r="F87" i="28"/>
  <c r="D48" i="33" s="1"/>
  <c r="F136" i="28"/>
  <c r="D86" i="33" s="1"/>
  <c r="F226" i="28"/>
  <c r="D9" i="33" s="1"/>
  <c r="G122" i="28"/>
  <c r="E53" i="33" s="1"/>
  <c r="F198" i="28"/>
  <c r="D149" i="33" s="1"/>
  <c r="G225" i="28"/>
  <c r="G126" i="28"/>
  <c r="G226" i="28"/>
  <c r="G109" i="28"/>
  <c r="F50" i="28"/>
  <c r="D62" i="33" s="1"/>
  <c r="F8" i="28"/>
  <c r="D81" i="33" s="1"/>
  <c r="F89" i="28"/>
  <c r="D50" i="33" s="1"/>
  <c r="F10" i="28"/>
  <c r="F139" i="28"/>
  <c r="D222" i="33" s="1"/>
  <c r="G139" i="28"/>
  <c r="E222" i="33" s="1"/>
  <c r="G198" i="28"/>
  <c r="E149" i="33" s="1"/>
  <c r="F254" i="28"/>
  <c r="H254" i="28" s="1"/>
  <c r="F200" i="28"/>
  <c r="D133" i="33" s="1"/>
  <c r="G206" i="28"/>
  <c r="E123" i="33" s="1"/>
  <c r="G207" i="28"/>
  <c r="E118" i="33" s="1"/>
  <c r="F207" i="28"/>
  <c r="D118" i="33" s="1"/>
  <c r="G208" i="28"/>
  <c r="F208" i="28"/>
  <c r="G50" i="28"/>
  <c r="E62" i="33" s="1"/>
  <c r="G117" i="28"/>
  <c r="G87" i="28"/>
  <c r="E48" i="33" s="1"/>
  <c r="G201" i="28"/>
  <c r="E57" i="33" s="1"/>
  <c r="F201" i="28"/>
  <c r="D57" i="33" s="1"/>
  <c r="F199" i="28"/>
  <c r="D11" i="33" s="1"/>
  <c r="G132" i="28"/>
  <c r="F132" i="28"/>
  <c r="D6" i="33" s="1"/>
  <c r="F137" i="28"/>
  <c r="D61" i="33" s="1"/>
  <c r="G136" i="28"/>
  <c r="E86" i="33" s="1"/>
  <c r="F138" i="28"/>
  <c r="D21" i="33" s="1"/>
  <c r="F232" i="28"/>
  <c r="D168" i="33" s="1"/>
  <c r="F209" i="28"/>
  <c r="D124" i="33" s="1"/>
  <c r="G140" i="28"/>
  <c r="F227" i="28"/>
  <c r="F126" i="28"/>
  <c r="D18" i="33" s="1"/>
  <c r="G200" i="28"/>
  <c r="E133" i="33" s="1"/>
  <c r="G209" i="28"/>
  <c r="E124" i="33" s="1"/>
  <c r="G211" i="28"/>
  <c r="E121" i="33" s="1"/>
  <c r="F211" i="28"/>
  <c r="D121" i="33" s="1"/>
  <c r="F230" i="28"/>
  <c r="D84" i="33" s="1"/>
  <c r="G104" i="28"/>
  <c r="E80" i="33" s="1"/>
  <c r="F104" i="28"/>
  <c r="D80" i="33" s="1"/>
  <c r="F229" i="28"/>
  <c r="D12" i="33" s="1"/>
  <c r="F224" i="28"/>
  <c r="D8" i="33" s="1"/>
  <c r="G258" i="28"/>
  <c r="F258" i="28"/>
  <c r="G137" i="28"/>
  <c r="E61" i="33" s="1"/>
  <c r="G138" i="28"/>
  <c r="F140" i="28"/>
  <c r="D23" i="33" s="1"/>
  <c r="F76" i="28"/>
  <c r="F46" i="28"/>
  <c r="G75" i="28"/>
  <c r="E70" i="33" s="1"/>
  <c r="F60" i="28"/>
  <c r="D180" i="33" s="1"/>
  <c r="F48" i="28"/>
  <c r="G62" i="28"/>
  <c r="E217" i="33" s="1"/>
  <c r="E150" i="33"/>
  <c r="G52" i="28"/>
  <c r="E167" i="33" s="1"/>
  <c r="G49" i="28"/>
  <c r="E83" i="33" s="1"/>
  <c r="G48" i="28"/>
  <c r="G60" i="28"/>
  <c r="E180" i="33" s="1"/>
  <c r="F75" i="28"/>
  <c r="D70" i="33" s="1"/>
  <c r="G27" i="28"/>
  <c r="E145" i="33" s="1"/>
  <c r="F27" i="28"/>
  <c r="D145" i="33" s="1"/>
  <c r="G21" i="28"/>
  <c r="E122" i="33" s="1"/>
  <c r="F26" i="28"/>
  <c r="H26" i="28" s="1"/>
  <c r="F25" i="28"/>
  <c r="G94" i="28"/>
  <c r="G102" i="28" s="1"/>
  <c r="F197" i="28"/>
  <c r="D147" i="33" s="1"/>
  <c r="H1121" i="22"/>
  <c r="I10" i="25" s="1"/>
  <c r="H1119" i="22"/>
  <c r="I8" i="25" s="1"/>
  <c r="F94" i="28"/>
  <c r="H1118" i="22"/>
  <c r="I16" i="25"/>
  <c r="H1120" i="22"/>
  <c r="I9" i="25" s="1"/>
  <c r="G119" i="28"/>
  <c r="D150" i="33" l="1"/>
  <c r="F58" i="28"/>
  <c r="E82" i="33"/>
  <c r="H179" i="33"/>
  <c r="K220" i="22"/>
  <c r="F102" i="28"/>
  <c r="K317" i="22"/>
  <c r="K429" i="22" s="1"/>
  <c r="D205" i="33"/>
  <c r="M227" i="28"/>
  <c r="F238" i="28"/>
  <c r="E59" i="33"/>
  <c r="E176" i="33"/>
  <c r="H113" i="33"/>
  <c r="N9" i="28"/>
  <c r="G18" i="28"/>
  <c r="E41" i="33" s="1"/>
  <c r="D176" i="33"/>
  <c r="F44" i="28"/>
  <c r="F18" i="28"/>
  <c r="D41" i="33" s="1"/>
  <c r="D82" i="33"/>
  <c r="E179" i="33"/>
  <c r="D76" i="33"/>
  <c r="L9" i="28"/>
  <c r="D47" i="33"/>
  <c r="F92" i="28"/>
  <c r="G84" i="28"/>
  <c r="G92" i="28" s="1"/>
  <c r="E47" i="33"/>
  <c r="D119" i="33"/>
  <c r="H76" i="28"/>
  <c r="F85" i="33" s="1"/>
  <c r="H85" i="33" s="1"/>
  <c r="D85" i="33"/>
  <c r="E76" i="33"/>
  <c r="H25" i="28"/>
  <c r="H1126" i="22"/>
  <c r="B1130" i="22" s="1"/>
  <c r="E11" i="33"/>
  <c r="H54" i="28"/>
  <c r="F220" i="33" s="1"/>
  <c r="E6" i="33"/>
  <c r="E8" i="33"/>
  <c r="E9" i="33"/>
  <c r="E12" i="33"/>
  <c r="E15" i="33"/>
  <c r="E18" i="33"/>
  <c r="E21" i="33"/>
  <c r="E23" i="33"/>
  <c r="G77" i="28"/>
  <c r="H21" i="28"/>
  <c r="F122" i="33" s="1"/>
  <c r="H228" i="28"/>
  <c r="F169" i="33" s="1"/>
  <c r="H169" i="33" s="1"/>
  <c r="H52" i="28"/>
  <c r="F167" i="33" s="1"/>
  <c r="H94" i="28"/>
  <c r="H23" i="28"/>
  <c r="H24" i="28"/>
  <c r="E14" i="33"/>
  <c r="G118" i="28"/>
  <c r="E134" i="33" s="1"/>
  <c r="I143" i="33"/>
  <c r="I7" i="25"/>
  <c r="G238" i="28"/>
  <c r="H123" i="28"/>
  <c r="F126" i="33" s="1"/>
  <c r="H225" i="28"/>
  <c r="E10" i="33"/>
  <c r="H87" i="28"/>
  <c r="F48" i="33" s="1"/>
  <c r="H48" i="33" s="1"/>
  <c r="H227" i="28"/>
  <c r="H108" i="28"/>
  <c r="F194" i="33" s="1"/>
  <c r="H194" i="33" s="1"/>
  <c r="F22" i="28"/>
  <c r="H199" i="28"/>
  <c r="H229" i="28"/>
  <c r="H224" i="28"/>
  <c r="H89" i="28"/>
  <c r="F50" i="33" s="1"/>
  <c r="H50" i="33" s="1"/>
  <c r="H206" i="28"/>
  <c r="F123" i="33" s="1"/>
  <c r="H11" i="28"/>
  <c r="H126" i="28"/>
  <c r="H136" i="28"/>
  <c r="F86" i="33" s="1"/>
  <c r="H86" i="33" s="1"/>
  <c r="H230" i="28"/>
  <c r="F84" i="33" s="1"/>
  <c r="H84" i="33" s="1"/>
  <c r="H232" i="28"/>
  <c r="F168" i="33" s="1"/>
  <c r="H168" i="33" s="1"/>
  <c r="H10" i="28"/>
  <c r="H49" i="28"/>
  <c r="F83" i="33" s="1"/>
  <c r="H83" i="33" s="1"/>
  <c r="H41" i="28"/>
  <c r="F176" i="33" s="1"/>
  <c r="H223" i="28"/>
  <c r="F205" i="33" s="1"/>
  <c r="H205" i="33" s="1"/>
  <c r="H70" i="28"/>
  <c r="H208" i="28"/>
  <c r="H207" i="28"/>
  <c r="F118" i="33" s="1"/>
  <c r="H14" i="28"/>
  <c r="H140" i="28"/>
  <c r="H132" i="28"/>
  <c r="G268" i="28"/>
  <c r="H75" i="28"/>
  <c r="F70" i="33" s="1"/>
  <c r="H70" i="33" s="1"/>
  <c r="F131" i="28"/>
  <c r="D190" i="33" s="1"/>
  <c r="G120" i="28"/>
  <c r="G8" i="28"/>
  <c r="E81" i="33" s="1"/>
  <c r="G131" i="28"/>
  <c r="E190" i="33" s="1"/>
  <c r="F202" i="28"/>
  <c r="F268" i="28"/>
  <c r="G265" i="28"/>
  <c r="H258" i="28"/>
  <c r="F122" i="28"/>
  <c r="G212" i="28"/>
  <c r="E106" i="33" s="1"/>
  <c r="F135" i="28"/>
  <c r="D108" i="33" s="1"/>
  <c r="G135" i="28"/>
  <c r="E108" i="33" s="1"/>
  <c r="F215" i="28"/>
  <c r="H27" i="28"/>
  <c r="F145" i="33" s="1"/>
  <c r="H211" i="28"/>
  <c r="F121" i="33" s="1"/>
  <c r="H198" i="28"/>
  <c r="F149" i="33" s="1"/>
  <c r="H149" i="33" s="1"/>
  <c r="E5" i="33"/>
  <c r="F133" i="28"/>
  <c r="D170" i="33" s="1"/>
  <c r="F257" i="28"/>
  <c r="H104" i="28"/>
  <c r="F80" i="33" s="1"/>
  <c r="H80" i="33" s="1"/>
  <c r="H134" i="28"/>
  <c r="H201" i="28"/>
  <c r="F57" i="33" s="1"/>
  <c r="H57" i="33" s="1"/>
  <c r="F119" i="28"/>
  <c r="D5" i="33" s="1"/>
  <c r="G142" i="28"/>
  <c r="F212" i="28"/>
  <c r="D106" i="33" s="1"/>
  <c r="F117" i="28"/>
  <c r="H226" i="28"/>
  <c r="H48" i="28"/>
  <c r="F82" i="33" s="1"/>
  <c r="H82" i="33" s="1"/>
  <c r="H60" i="28"/>
  <c r="F180" i="33" s="1"/>
  <c r="H180" i="33" s="1"/>
  <c r="H103" i="28"/>
  <c r="H47" i="28"/>
  <c r="F148" i="33" s="1"/>
  <c r="H148" i="33" s="1"/>
  <c r="H46" i="28"/>
  <c r="H138" i="28"/>
  <c r="H137" i="28"/>
  <c r="F61" i="33" s="1"/>
  <c r="H61" i="33" s="1"/>
  <c r="H209" i="28"/>
  <c r="F124" i="33" s="1"/>
  <c r="H200" i="28"/>
  <c r="F133" i="33" s="1"/>
  <c r="H133" i="33" s="1"/>
  <c r="H139" i="28"/>
  <c r="F222" i="33" s="1"/>
  <c r="H50" i="28"/>
  <c r="F62" i="33" s="1"/>
  <c r="H62" i="33" s="1"/>
  <c r="H95" i="28"/>
  <c r="F29" i="28"/>
  <c r="D67" i="33" s="1"/>
  <c r="D13" i="33"/>
  <c r="F109" i="28"/>
  <c r="F77" i="28"/>
  <c r="G214" i="28"/>
  <c r="E218" i="33" s="1"/>
  <c r="F214" i="28"/>
  <c r="D218" i="33" s="1"/>
  <c r="F255" i="28"/>
  <c r="G255" i="28"/>
  <c r="G256" i="28"/>
  <c r="E204" i="33" s="1"/>
  <c r="F105" i="28"/>
  <c r="D22" i="33" s="1"/>
  <c r="G133" i="28"/>
  <c r="E170" i="33" s="1"/>
  <c r="F210" i="28"/>
  <c r="D120" i="33" s="1"/>
  <c r="F213" i="28"/>
  <c r="D107" i="33" s="1"/>
  <c r="F141" i="28"/>
  <c r="D26" i="33" s="1"/>
  <c r="G141" i="28"/>
  <c r="G105" i="28"/>
  <c r="G210" i="28"/>
  <c r="E120" i="33" s="1"/>
  <c r="G257" i="28"/>
  <c r="G215" i="28"/>
  <c r="G213" i="28"/>
  <c r="E107" i="33" s="1"/>
  <c r="F142" i="28"/>
  <c r="D24" i="33" s="1"/>
  <c r="G197" i="28"/>
  <c r="E147" i="33" s="1"/>
  <c r="G56" i="28"/>
  <c r="E192" i="33" s="1"/>
  <c r="F67" i="28"/>
  <c r="H67" i="28" s="1"/>
  <c r="H88" i="28"/>
  <c r="F49" i="33" s="1"/>
  <c r="H49" i="33" s="1"/>
  <c r="G39" i="28"/>
  <c r="F63" i="28"/>
  <c r="H63" i="28" s="1"/>
  <c r="F59" i="28"/>
  <c r="D207" i="33" s="1"/>
  <c r="F62" i="28"/>
  <c r="D217" i="33" s="1"/>
  <c r="G55" i="28"/>
  <c r="E191" i="33" s="1"/>
  <c r="G59" i="28"/>
  <c r="E207" i="33" s="1"/>
  <c r="F68" i="28"/>
  <c r="D68" i="33" s="1"/>
  <c r="G29" i="28"/>
  <c r="E67" i="33" s="1"/>
  <c r="G28" i="28"/>
  <c r="E146" i="33" s="1"/>
  <c r="G7" i="28"/>
  <c r="E78" i="33" s="1"/>
  <c r="F19" i="28"/>
  <c r="D40" i="33" s="1"/>
  <c r="G19" i="28"/>
  <c r="F31" i="28"/>
  <c r="D221" i="33" s="1"/>
  <c r="G31" i="28"/>
  <c r="E221" i="33" s="1"/>
  <c r="I174" i="33"/>
  <c r="I188" i="33"/>
  <c r="I15" i="25"/>
  <c r="G58" i="28" l="1"/>
  <c r="H176" i="33"/>
  <c r="F187" i="33"/>
  <c r="J188" i="33" s="1"/>
  <c r="F150" i="33"/>
  <c r="H150" i="33" s="1"/>
  <c r="I202" i="33"/>
  <c r="I165" i="33"/>
  <c r="H102" i="28"/>
  <c r="H220" i="33"/>
  <c r="J220" i="33"/>
  <c r="H222" i="33"/>
  <c r="J222" i="33"/>
  <c r="H145" i="33"/>
  <c r="L1027" i="22"/>
  <c r="I214" i="33" s="1"/>
  <c r="F130" i="28"/>
  <c r="F47" i="33"/>
  <c r="H47" i="33" s="1"/>
  <c r="G130" i="28"/>
  <c r="N217" i="22"/>
  <c r="H124" i="33"/>
  <c r="H118" i="33"/>
  <c r="H126" i="33"/>
  <c r="H122" i="33"/>
  <c r="H123" i="33"/>
  <c r="H121" i="33"/>
  <c r="L308" i="22"/>
  <c r="H18" i="28"/>
  <c r="F41" i="33" s="1"/>
  <c r="J41" i="33" s="1"/>
  <c r="F65" i="28"/>
  <c r="F38" i="28"/>
  <c r="G38" i="28"/>
  <c r="H167" i="33"/>
  <c r="H62" i="28"/>
  <c r="F217" i="33" s="1"/>
  <c r="J217" i="33" s="1"/>
  <c r="H84" i="28"/>
  <c r="H92" i="28" s="1"/>
  <c r="E212" i="33"/>
  <c r="F76" i="33"/>
  <c r="H122" i="28"/>
  <c r="F53" i="33" s="1"/>
  <c r="H53" i="33" s="1"/>
  <c r="D53" i="33"/>
  <c r="H202" i="28"/>
  <c r="F56" i="33" s="1"/>
  <c r="H56" i="33" s="1"/>
  <c r="D56" i="33"/>
  <c r="H117" i="28"/>
  <c r="F59" i="33" s="1"/>
  <c r="H59" i="33" s="1"/>
  <c r="D59" i="33"/>
  <c r="H39" i="28"/>
  <c r="F77" i="33" s="1"/>
  <c r="H77" i="33" s="1"/>
  <c r="E77" i="33"/>
  <c r="H22" i="28"/>
  <c r="F125" i="33" s="1"/>
  <c r="D125" i="33"/>
  <c r="O27" i="28"/>
  <c r="F119" i="33"/>
  <c r="F170" i="28"/>
  <c r="F179" i="28" s="1"/>
  <c r="M9" i="28"/>
  <c r="N25" i="28"/>
  <c r="I131" i="33"/>
  <c r="G272" i="28"/>
  <c r="K17" i="25"/>
  <c r="I17" i="25"/>
  <c r="G170" i="28"/>
  <c r="G179" i="28" s="1"/>
  <c r="F265" i="28"/>
  <c r="D212" i="33" s="1"/>
  <c r="H256" i="28"/>
  <c r="F204" i="33" s="1"/>
  <c r="H204" i="33" s="1"/>
  <c r="H7" i="28"/>
  <c r="G65" i="28"/>
  <c r="H8" i="28"/>
  <c r="F81" i="33" s="1"/>
  <c r="H81" i="33" s="1"/>
  <c r="H55" i="28"/>
  <c r="F191" i="33" s="1"/>
  <c r="H191" i="33" s="1"/>
  <c r="H56" i="28"/>
  <c r="F192" i="33" s="1"/>
  <c r="H192" i="33" s="1"/>
  <c r="E24" i="33"/>
  <c r="E26" i="33"/>
  <c r="H118" i="28"/>
  <c r="F134" i="33" s="1"/>
  <c r="H28" i="28"/>
  <c r="F146" i="33" s="1"/>
  <c r="H146" i="33" s="1"/>
  <c r="H44" i="28"/>
  <c r="K58" i="28"/>
  <c r="E40" i="33"/>
  <c r="F220" i="28"/>
  <c r="G220" i="28"/>
  <c r="D53" i="23"/>
  <c r="O7" i="32" s="1"/>
  <c r="F14" i="33"/>
  <c r="F8" i="33"/>
  <c r="F21" i="33"/>
  <c r="F9" i="33"/>
  <c r="F19" i="33"/>
  <c r="F12" i="33"/>
  <c r="H120" i="28"/>
  <c r="E4" i="33"/>
  <c r="F6" i="33"/>
  <c r="G107" i="28"/>
  <c r="E22" i="33"/>
  <c r="F23" i="33"/>
  <c r="E13" i="33"/>
  <c r="F15" i="33"/>
  <c r="F18" i="33"/>
  <c r="F11" i="33"/>
  <c r="F10" i="33"/>
  <c r="H212" i="28"/>
  <c r="F106" i="33" s="1"/>
  <c r="H106" i="33" s="1"/>
  <c r="H133" i="28"/>
  <c r="F170" i="33" s="1"/>
  <c r="F173" i="33" s="1"/>
  <c r="J174" i="33" s="1"/>
  <c r="L123" i="28"/>
  <c r="H215" i="28"/>
  <c r="H221" i="28"/>
  <c r="F193" i="33" s="1"/>
  <c r="H193" i="33" s="1"/>
  <c r="H268" i="28"/>
  <c r="H142" i="28"/>
  <c r="H131" i="28"/>
  <c r="F190" i="33" s="1"/>
  <c r="K16" i="25"/>
  <c r="H257" i="28"/>
  <c r="H119" i="28"/>
  <c r="G68" i="28"/>
  <c r="H135" i="28"/>
  <c r="F108" i="33" s="1"/>
  <c r="H108" i="33" s="1"/>
  <c r="H31" i="28"/>
  <c r="F221" i="33" s="1"/>
  <c r="H214" i="28"/>
  <c r="F218" i="33" s="1"/>
  <c r="K44" i="28"/>
  <c r="H19" i="28"/>
  <c r="H59" i="28"/>
  <c r="H141" i="28"/>
  <c r="H213" i="28"/>
  <c r="F107" i="33" s="1"/>
  <c r="H107" i="33" s="1"/>
  <c r="H210" i="28"/>
  <c r="F120" i="33" s="1"/>
  <c r="H105" i="28"/>
  <c r="H29" i="28"/>
  <c r="F67" i="33" s="1"/>
  <c r="H67" i="33" s="1"/>
  <c r="H197" i="28"/>
  <c r="F147" i="33" s="1"/>
  <c r="H147" i="33" s="1"/>
  <c r="K77" i="28"/>
  <c r="H77" i="28"/>
  <c r="K109" i="28"/>
  <c r="H109" i="28"/>
  <c r="H255" i="28"/>
  <c r="F259" i="28"/>
  <c r="F260" i="28" s="1"/>
  <c r="G40" i="28"/>
  <c r="H40" i="28" s="1"/>
  <c r="F107" i="28"/>
  <c r="G259" i="28"/>
  <c r="F266" i="28"/>
  <c r="F73" i="28"/>
  <c r="F74" i="28" s="1"/>
  <c r="F81" i="28" l="1"/>
  <c r="H58" i="28"/>
  <c r="G264" i="28"/>
  <c r="H264" i="28" s="1"/>
  <c r="F164" i="33"/>
  <c r="J165" i="33" s="1"/>
  <c r="H190" i="33"/>
  <c r="F201" i="33"/>
  <c r="J202" i="33" s="1"/>
  <c r="H218" i="33"/>
  <c r="J218" i="33"/>
  <c r="H221" i="33"/>
  <c r="J221" i="33"/>
  <c r="H15" i="33"/>
  <c r="J15" i="33"/>
  <c r="H8" i="33"/>
  <c r="J8" i="33"/>
  <c r="H14" i="33"/>
  <c r="J14" i="33"/>
  <c r="H23" i="33"/>
  <c r="J23" i="33"/>
  <c r="H12" i="33"/>
  <c r="J12" i="33"/>
  <c r="H9" i="33"/>
  <c r="J9" i="33"/>
  <c r="H10" i="33"/>
  <c r="J10" i="33"/>
  <c r="H19" i="33"/>
  <c r="J19" i="33"/>
  <c r="H11" i="33"/>
  <c r="J11" i="33"/>
  <c r="H18" i="33"/>
  <c r="J18" i="33"/>
  <c r="H6" i="33"/>
  <c r="J6" i="33"/>
  <c r="H21" i="33"/>
  <c r="J21" i="33"/>
  <c r="F229" i="33"/>
  <c r="H125" i="33"/>
  <c r="H120" i="33"/>
  <c r="H119" i="33"/>
  <c r="H76" i="33"/>
  <c r="H217" i="33"/>
  <c r="F262" i="28"/>
  <c r="H38" i="28"/>
  <c r="F195" i="28"/>
  <c r="H41" i="33"/>
  <c r="C14" i="34"/>
  <c r="H14" i="34" s="1"/>
  <c r="H170" i="33"/>
  <c r="F142" i="33"/>
  <c r="J143" i="33" s="1"/>
  <c r="H134" i="33"/>
  <c r="F78" i="33"/>
  <c r="H78" i="33" s="1"/>
  <c r="L598" i="22"/>
  <c r="I74" i="33" s="1"/>
  <c r="L74" i="33" s="1"/>
  <c r="H65" i="28"/>
  <c r="F207" i="33"/>
  <c r="H207" i="33" s="1"/>
  <c r="F130" i="33"/>
  <c r="J131" i="33" s="1"/>
  <c r="H266" i="28"/>
  <c r="F72" i="33" s="1"/>
  <c r="H72" i="33" s="1"/>
  <c r="D72" i="33"/>
  <c r="G73" i="28"/>
  <c r="K73" i="28" s="1"/>
  <c r="E68" i="33"/>
  <c r="F110" i="33"/>
  <c r="H265" i="28"/>
  <c r="F272" i="28"/>
  <c r="H170" i="28"/>
  <c r="H238" i="28"/>
  <c r="G195" i="28"/>
  <c r="H220" i="28"/>
  <c r="F13" i="33"/>
  <c r="F5" i="33"/>
  <c r="F40" i="33"/>
  <c r="J40" i="33" s="1"/>
  <c r="F22" i="33"/>
  <c r="F24" i="33"/>
  <c r="F4" i="33"/>
  <c r="J4" i="33" s="1"/>
  <c r="F26" i="33"/>
  <c r="K220" i="28"/>
  <c r="H68" i="28"/>
  <c r="F68" i="33" s="1"/>
  <c r="H68" i="33" s="1"/>
  <c r="F263" i="28"/>
  <c r="H130" i="28"/>
  <c r="K130" i="28"/>
  <c r="G262" i="28"/>
  <c r="K65" i="28"/>
  <c r="H259" i="28"/>
  <c r="K107" i="28"/>
  <c r="H107" i="28"/>
  <c r="K92" i="28"/>
  <c r="K102" i="28"/>
  <c r="K40" i="28"/>
  <c r="K170" i="28"/>
  <c r="G260" i="28"/>
  <c r="K38" i="28"/>
  <c r="I19" i="25"/>
  <c r="H24" i="33" l="1"/>
  <c r="J24" i="33"/>
  <c r="H5" i="33"/>
  <c r="J5" i="33"/>
  <c r="H26" i="33"/>
  <c r="J26" i="33"/>
  <c r="H13" i="33"/>
  <c r="J13" i="33"/>
  <c r="H22" i="33"/>
  <c r="J22" i="33"/>
  <c r="G285" i="28"/>
  <c r="C8" i="34"/>
  <c r="H229" i="33"/>
  <c r="H4" i="33"/>
  <c r="F44" i="33"/>
  <c r="J44" i="33" s="1"/>
  <c r="G233" i="33"/>
  <c r="F103" i="33"/>
  <c r="E14" i="34"/>
  <c r="F14" i="34" s="1"/>
  <c r="K15" i="35"/>
  <c r="H40" i="33"/>
  <c r="C12" i="34"/>
  <c r="H12" i="34" s="1"/>
  <c r="H173" i="33"/>
  <c r="C15" i="34"/>
  <c r="H15" i="34" s="1"/>
  <c r="C13" i="34"/>
  <c r="H13" i="34" s="1"/>
  <c r="C11" i="34"/>
  <c r="H11" i="34" s="1"/>
  <c r="H130" i="33"/>
  <c r="C7" i="34"/>
  <c r="H7" i="34" s="1"/>
  <c r="H142" i="33"/>
  <c r="D18" i="34"/>
  <c r="F73" i="33"/>
  <c r="J74" i="33" s="1"/>
  <c r="C17" i="34"/>
  <c r="H17" i="34" s="1"/>
  <c r="H272" i="28"/>
  <c r="F212" i="33"/>
  <c r="H212" i="33" s="1"/>
  <c r="G74" i="28"/>
  <c r="H73" i="28"/>
  <c r="H74" i="28" s="1"/>
  <c r="H81" i="28" s="1"/>
  <c r="G263" i="28"/>
  <c r="O11" i="32"/>
  <c r="O12" i="32"/>
  <c r="L93" i="28"/>
  <c r="H262" i="28"/>
  <c r="G261" i="28"/>
  <c r="F115" i="28"/>
  <c r="H179" i="28"/>
  <c r="H260" i="28"/>
  <c r="F261" i="28"/>
  <c r="L429" i="22" l="1"/>
  <c r="I104" i="33" s="1"/>
  <c r="J104" i="33" s="1"/>
  <c r="H8" i="34"/>
  <c r="G290" i="28"/>
  <c r="G81" i="28"/>
  <c r="G115" i="28" s="1"/>
  <c r="C6" i="34"/>
  <c r="G278" i="28"/>
  <c r="E12" i="34"/>
  <c r="F12" i="34" s="1"/>
  <c r="K14" i="35"/>
  <c r="E17" i="34"/>
  <c r="F17" i="34" s="1"/>
  <c r="K11" i="35"/>
  <c r="E13" i="34"/>
  <c r="F13" i="34" s="1"/>
  <c r="K16" i="35"/>
  <c r="E11" i="34"/>
  <c r="F11" i="34" s="1"/>
  <c r="K17" i="35"/>
  <c r="E15" i="34"/>
  <c r="F15" i="34" s="1"/>
  <c r="K12" i="35"/>
  <c r="E8" i="34"/>
  <c r="F8" i="34" s="1"/>
  <c r="K7" i="35"/>
  <c r="E7" i="34"/>
  <c r="F7" i="34" s="1"/>
  <c r="K10" i="35"/>
  <c r="C9" i="34"/>
  <c r="H9" i="34" s="1"/>
  <c r="C10" i="34"/>
  <c r="H10" i="34" s="1"/>
  <c r="H73" i="33"/>
  <c r="H44" i="33"/>
  <c r="H195" i="28"/>
  <c r="E53" i="23"/>
  <c r="F53" i="23" s="1"/>
  <c r="C5" i="24"/>
  <c r="H261" i="28"/>
  <c r="H263" i="28"/>
  <c r="G284" i="28" l="1"/>
  <c r="D279" i="28"/>
  <c r="F280" i="28" s="1"/>
  <c r="M429" i="22"/>
  <c r="I111" i="33" s="1"/>
  <c r="J111" i="33" s="1"/>
  <c r="K6" i="35"/>
  <c r="H6" i="34"/>
  <c r="O10" i="32"/>
  <c r="E6" i="34"/>
  <c r="F6" i="34" s="1"/>
  <c r="H213" i="33"/>
  <c r="J214" i="33"/>
  <c r="H278" i="28"/>
  <c r="G289" i="28"/>
  <c r="G287" i="28"/>
  <c r="G286" i="28"/>
  <c r="G288" i="28" s="1"/>
  <c r="E10" i="34"/>
  <c r="F10" i="34" s="1"/>
  <c r="K9" i="35"/>
  <c r="E9" i="34"/>
  <c r="F9" i="34" s="1"/>
  <c r="K8" i="35"/>
  <c r="F233" i="33"/>
  <c r="C16" i="34"/>
  <c r="H16" i="34" s="1"/>
  <c r="H115" i="28"/>
  <c r="G291" i="28" l="1"/>
  <c r="E16" i="34"/>
  <c r="F16" i="34" s="1"/>
  <c r="K13" i="35"/>
  <c r="K18" i="35" s="1"/>
  <c r="F21" i="35" s="1"/>
  <c r="F23" i="35" s="1"/>
  <c r="C18" i="34"/>
  <c r="O13" i="32"/>
  <c r="P13" i="32" s="1"/>
  <c r="E18" i="34" l="1"/>
  <c r="F18" i="34" s="1"/>
  <c r="O206" i="22" l="1"/>
  <c r="K279" i="22"/>
  <c r="K1114" i="22" s="1"/>
  <c r="H1133" i="22" s="1"/>
  <c r="I23" i="25" l="1"/>
  <c r="D52" i="23"/>
  <c r="C1133" i="22"/>
  <c r="N279" i="22"/>
  <c r="N118" i="22" s="1"/>
  <c r="L281" i="28" l="1"/>
  <c r="M281" i="28" s="1"/>
  <c r="I233" i="33"/>
  <c r="J233" i="33" s="1"/>
  <c r="O6" i="32"/>
  <c r="O8" i="32" s="1"/>
  <c r="E52" i="23"/>
  <c r="F52" i="23" s="1"/>
  <c r="C4" i="24"/>
  <c r="C6" i="24" s="1"/>
  <c r="C20" i="24" s="1"/>
  <c r="C21" i="24" s="1"/>
  <c r="D55" i="23"/>
  <c r="K280" i="28"/>
  <c r="N22" i="25"/>
  <c r="E55" i="23" l="1"/>
  <c r="F55" i="23" s="1"/>
  <c r="D56" i="23"/>
  <c r="D57" i="23" s="1"/>
  <c r="O29" i="32"/>
  <c r="O30" i="32" s="1"/>
  <c r="P14" i="32"/>
  <c r="E56" i="23" l="1"/>
  <c r="F56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 User</author>
  </authors>
  <commentList>
    <comment ref="K100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HP User:</t>
        </r>
        <r>
          <rPr>
            <sz val="9"/>
            <color indexed="81"/>
            <rFont val="Tahoma"/>
            <family val="2"/>
          </rPr>
          <t xml:space="preserve">
in mod it is 72
in this fornula 72*2 </t>
        </r>
      </text>
    </comment>
    <comment ref="K105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HP User:</t>
        </r>
        <r>
          <rPr>
            <sz val="9"/>
            <color indexed="81"/>
            <rFont val="Tahoma"/>
            <family val="2"/>
          </rPr>
          <t xml:space="preserve">
Calculated.</t>
        </r>
      </text>
    </comment>
  </commentList>
</comments>
</file>

<file path=xl/sharedStrings.xml><?xml version="1.0" encoding="utf-8"?>
<sst xmlns="http://schemas.openxmlformats.org/spreadsheetml/2006/main" count="2448" uniqueCount="1669">
  <si>
    <t>Rajshahi</t>
  </si>
  <si>
    <t>Bogra</t>
  </si>
  <si>
    <t>Rangpur</t>
  </si>
  <si>
    <t>Comilla</t>
  </si>
  <si>
    <t>Sylhet</t>
  </si>
  <si>
    <t>Dhaka</t>
  </si>
  <si>
    <t>Chittagong</t>
  </si>
  <si>
    <t>Net Generation</t>
  </si>
  <si>
    <t>Gross Generation</t>
  </si>
  <si>
    <t>Hydro</t>
  </si>
  <si>
    <t>Gas</t>
  </si>
  <si>
    <t>Coal</t>
  </si>
  <si>
    <t>HSD</t>
  </si>
  <si>
    <t>HFO</t>
  </si>
  <si>
    <t>BPDB</t>
  </si>
  <si>
    <t>Consigne</t>
  </si>
  <si>
    <t>NET  GENERATION  OF  DIFFERENT  POWER  STATION</t>
  </si>
  <si>
    <t>EAUD</t>
  </si>
  <si>
    <t>Name of Power Station</t>
  </si>
  <si>
    <t>Meter No.</t>
  </si>
  <si>
    <t>O.M.F</t>
  </si>
  <si>
    <t>C.F.</t>
  </si>
  <si>
    <t>Previous Reading</t>
  </si>
  <si>
    <t>Present Reading</t>
  </si>
  <si>
    <t>Total KWh</t>
  </si>
  <si>
    <t xml:space="preserve"> (KWh) </t>
  </si>
  <si>
    <t xml:space="preserve"> (KWh)</t>
  </si>
  <si>
    <t>Ghorashal  Power Station,Unit-1</t>
  </si>
  <si>
    <t>Ghorashal  Power Station,Unit-2</t>
  </si>
  <si>
    <t>Ghorashal  Power Station,Unit-5</t>
  </si>
  <si>
    <t>Ghorashal  Power Station,Unit-6</t>
  </si>
  <si>
    <t>21T</t>
  </si>
  <si>
    <t>22T</t>
  </si>
  <si>
    <t>23T 3BA-9</t>
  </si>
  <si>
    <t>23T 3BB-10</t>
  </si>
  <si>
    <t>TB-3</t>
  </si>
  <si>
    <t>24T4BA</t>
  </si>
  <si>
    <t>24T4BB</t>
  </si>
  <si>
    <t>TB-4</t>
  </si>
  <si>
    <t>25T 5BA</t>
  </si>
  <si>
    <t>25T 5BB</t>
  </si>
  <si>
    <t>TB-5</t>
  </si>
  <si>
    <t>1TR</t>
  </si>
  <si>
    <t>2TR 3(BA)</t>
  </si>
  <si>
    <t>2TR 3(BB)</t>
  </si>
  <si>
    <t>Auxiliary from self + grid</t>
  </si>
  <si>
    <t>Net Generation of Gorashal Power Station</t>
  </si>
  <si>
    <t>Meghnaghat ,450MW GT-1, Exp</t>
  </si>
  <si>
    <t>Meghnaghat ,450MW GT-2, Exp</t>
  </si>
  <si>
    <t>Meghnaghat ,450MW ST- Exp</t>
  </si>
  <si>
    <t>Meghnaghat ,450MW ST- Imp</t>
  </si>
  <si>
    <t>Startup Tr.</t>
  </si>
  <si>
    <t>Auxiliary Use</t>
  </si>
  <si>
    <t>Net Generation of Meghnaghat,450 MW</t>
  </si>
  <si>
    <t>Horipur ,IPP, 360MW GT / Exp</t>
  </si>
  <si>
    <t>Horipur ,IPP, 360 MW, ST Exp</t>
  </si>
  <si>
    <t>Net Generation of Haripur IPP,360 MW Power Station</t>
  </si>
  <si>
    <t>Net Generation of NEPC IPP,110 MW Power Station</t>
  </si>
  <si>
    <t>Shiddirganj , 210 MW- Exp</t>
  </si>
  <si>
    <t xml:space="preserve"> 210 MW  Plant Imp-1</t>
  </si>
  <si>
    <t xml:space="preserve"> 210 MW  Plant Imp-2</t>
  </si>
  <si>
    <t>Net Generation of Shiddirganj,210 MW Power Station</t>
  </si>
  <si>
    <t>Shiddirganj , 120 MW PPP-1 Exp</t>
  </si>
  <si>
    <t>08993768</t>
  </si>
  <si>
    <t>Shiddirganj , 120 MW PPP-2 Exp</t>
  </si>
  <si>
    <t>08993530</t>
  </si>
  <si>
    <t>Shiddirganj , 120 MW PPP-1 Imp</t>
  </si>
  <si>
    <t>Shiddirganj , 120 MW PPP-2 Imp</t>
  </si>
  <si>
    <t>Net Generation of Shiddirganj,240 MW Power Station</t>
  </si>
  <si>
    <t>Ghorashal 45 MW-Agrreko,+P-Exp</t>
  </si>
  <si>
    <t>00412556</t>
  </si>
  <si>
    <t>Ghorashal 45 MW-Agrreko,-P-Imp</t>
  </si>
  <si>
    <t>Net Generation of Ghorashal 45 MW-Agreeko</t>
  </si>
  <si>
    <t>Ghorashal 100 MW-Agrreko,+P-Exp</t>
  </si>
  <si>
    <t>00412546</t>
  </si>
  <si>
    <t>Ghorashal 100 MW-Agrreko,-P-Imp</t>
  </si>
  <si>
    <t>Net Generation of Ghorashal 100 MW</t>
  </si>
  <si>
    <t xml:space="preserve">Ghorashal Max Power 78.5 MW RPP, Exp </t>
  </si>
  <si>
    <t xml:space="preserve">Ghorashal Max Power 78.5 MW RPP, Imp </t>
  </si>
  <si>
    <t xml:space="preserve">Net Generation Ghorashal Max Power 78.5 MW RPP </t>
  </si>
  <si>
    <t>Pagla 50 MW . Rental, +A-Exp</t>
  </si>
  <si>
    <t>Pagla 50 MW . Rental, -A-Imp</t>
  </si>
  <si>
    <t>Net Generation of Pagla 50 MW</t>
  </si>
  <si>
    <t xml:space="preserve"> Desh Energy 100 MW RPP, Exp</t>
  </si>
  <si>
    <t xml:space="preserve"> Desh Energy 100 MW RPP, Imp</t>
  </si>
  <si>
    <t>Net Generation of Desh RPP</t>
  </si>
  <si>
    <t>Net Generation of Summit RPP</t>
  </si>
  <si>
    <t>Duch Bangla 100MW RPP, Exp</t>
  </si>
  <si>
    <t>Duch Bangla 100MW RPP, Imp</t>
  </si>
  <si>
    <t>Net Generation of Dutch Bangla RPP</t>
  </si>
  <si>
    <t>DHAKA-EAUD TOTAL GENERATION</t>
  </si>
  <si>
    <t>Rowjan 2X210 MW, Unit-1</t>
  </si>
  <si>
    <t>Rowjan 2X210 MW, Unit-2</t>
  </si>
  <si>
    <t>Rowjan 2X210 MW, Aux-1(FWT)</t>
  </si>
  <si>
    <t>Rowjan 2X210 MW, Aux-1(SST)</t>
  </si>
  <si>
    <t>Rowjan 2X210 MW, Aux-2</t>
  </si>
  <si>
    <t>Net Generation of Roujan Power Station</t>
  </si>
  <si>
    <t>Kaptai 50 MVA, Unit-1</t>
  </si>
  <si>
    <t>Kaptai 50 MVA, Unit-2</t>
  </si>
  <si>
    <t>Kaptai 62.5 MVA, Unit-3</t>
  </si>
  <si>
    <t>Kaptai 62.5 MVA, Unit-4</t>
  </si>
  <si>
    <t>Kaptai 62.5 MVA, Unit-5</t>
  </si>
  <si>
    <t>Net Generation of Kaptai Power Station</t>
  </si>
  <si>
    <t>Sikalbaha 60 MW</t>
  </si>
  <si>
    <t>Sikalbaha Aux</t>
  </si>
  <si>
    <t>Sikalbaha Imp from Grid</t>
  </si>
  <si>
    <t>Net Generation of Shikalbaha 60 MW</t>
  </si>
  <si>
    <t>Aux  of Rental</t>
  </si>
  <si>
    <t xml:space="preserve">Net Generation of 55MW-Rental </t>
  </si>
  <si>
    <t>Aux of PPP Imp from Grid</t>
  </si>
  <si>
    <t>Net Generation of 150MW Sikalbaha, PPP</t>
  </si>
  <si>
    <t>Regent ,Barabkunda,22 MW / Exp</t>
  </si>
  <si>
    <t>Regent ,Barabkunda,22 MW / Imp</t>
  </si>
  <si>
    <t>Net Generation of Regent Power Station</t>
  </si>
  <si>
    <t>Malancha, EPZ, 33KV Exp, (Rampur)</t>
  </si>
  <si>
    <t>Malancha, EPZ, 33KV Exp, (Hali)</t>
  </si>
  <si>
    <t>Malancha, EPZ, 33KV Imp, (Rampur)</t>
  </si>
  <si>
    <t>Malancha, EPZ, 33KV Imp, (Hali)</t>
  </si>
  <si>
    <t>Net Generation of Malancha Power Station</t>
  </si>
  <si>
    <t>Hathazari 100 MW P/S, Exp</t>
  </si>
  <si>
    <t>Hathazari 100 MW P/S, Imp</t>
  </si>
  <si>
    <t>Net Generation of Hathazari Power Station</t>
  </si>
  <si>
    <t>Dhoazari 100 MW  P/S, Exp</t>
  </si>
  <si>
    <t>Dhoazari 100 MW  P/S, Imp</t>
  </si>
  <si>
    <t>Net Generation of Dohazari Power Station</t>
  </si>
  <si>
    <t>Juldha 100 MW  P/S, Exp</t>
  </si>
  <si>
    <t>Juldha 100 MW  P/S, Imp</t>
  </si>
  <si>
    <t xml:space="preserve">Shikalbaha  Burge, Exp      </t>
  </si>
  <si>
    <t xml:space="preserve">Shikalbaha  Burge, Imp      </t>
  </si>
  <si>
    <t>Kutubdia Disel Power Station, Exp</t>
  </si>
  <si>
    <t>CTG-EAUD TOTAL GENERATION</t>
  </si>
  <si>
    <t>Ashuganj Generator -1</t>
  </si>
  <si>
    <t>Ashuganj Generator -3</t>
  </si>
  <si>
    <t>Ashuganj Generator -5</t>
  </si>
  <si>
    <t>Ashuganj GT- 1</t>
  </si>
  <si>
    <t>Ashuganj ST (cc)</t>
  </si>
  <si>
    <t>Net Generation Ashuganj Power Station,728 MW</t>
  </si>
  <si>
    <t xml:space="preserve"> Precision Energy,  Exp</t>
  </si>
  <si>
    <t xml:space="preserve"> Precision Energy,  Imp</t>
  </si>
  <si>
    <t>Net Generation of 55 MW Precision</t>
  </si>
  <si>
    <t>Summit Jangalia Feeder-1, Exp</t>
  </si>
  <si>
    <t>Summit Jangalia Feeder-2, Exp</t>
  </si>
  <si>
    <t>Summit Jangalia Feeder-1, Imp</t>
  </si>
  <si>
    <t>Summit Jangalia Feeder-2, Imp</t>
  </si>
  <si>
    <t>Net Generation of 33MW Janglia Power Station</t>
  </si>
  <si>
    <t>Doreen, Feni 22 MW, Exp</t>
  </si>
  <si>
    <t>Doreen, Feni 22 MW, Imp</t>
  </si>
  <si>
    <t>Net Generation of 22MW Doreen Power Station,Feni</t>
  </si>
  <si>
    <t>Net Generation Ashuganj Agreeko 80MW QRPP</t>
  </si>
  <si>
    <t>Net Generation B. Baria Agreeko 70MW</t>
  </si>
  <si>
    <t>Ashuganj United 53 MW, Exp</t>
  </si>
  <si>
    <t>Ashuganj United 53 MW, Imp</t>
  </si>
  <si>
    <t>Net Generation Ashuganj United 53 MW</t>
  </si>
  <si>
    <t>Doud Kandi 50 MW ( PDB), Exp</t>
  </si>
  <si>
    <t>Doud Kandi 50 MW ( PDB), Imp</t>
  </si>
  <si>
    <t>Net Generation Doud Kandi 50 MW ( PDB)</t>
  </si>
  <si>
    <t>Net Generation Chandpur CP 150MW ( PDB )</t>
  </si>
  <si>
    <t>Hatia Diesel, Exp-1</t>
  </si>
  <si>
    <t>Hatia Diesel, Exp-2</t>
  </si>
  <si>
    <t>Hatia Diesel, Imp-2</t>
  </si>
  <si>
    <t>Hatia Diesel, Imp-3</t>
  </si>
  <si>
    <t xml:space="preserve"> Net Generation Hatia Diesel</t>
  </si>
  <si>
    <t>COMILLA-EAUD TOTAL GENERATION</t>
  </si>
  <si>
    <t>Net Generation of Shahjibazar Power Station</t>
  </si>
  <si>
    <t>Net Generation of Shahjibazar Hossaf 50MW Power Station</t>
  </si>
  <si>
    <t>Shahjibazar,Youth Gr.,86 MW, Exp</t>
  </si>
  <si>
    <t>Shahjibazar,Youth Gr.,86 MW, Imp</t>
  </si>
  <si>
    <t>Net Generation of  Shahjibazar,Youth Gr.,86 MW</t>
  </si>
  <si>
    <t>Fenchuganj, 90MW PS, U-1, GT-1, Exp</t>
  </si>
  <si>
    <t>Fenchuganj, 90MW PS, U-1, GT-2 / Exp</t>
  </si>
  <si>
    <t>Fenchuganj,  U-1, PS, ST  / Exp</t>
  </si>
  <si>
    <t>Fenchuganj, 90MW PS,U-2,GT-1, Exp</t>
  </si>
  <si>
    <t>Fenchuganj, 90MW PS,U-2,GT-2 / Exp</t>
  </si>
  <si>
    <t>Fenchuganj,  PS, U-2, ST  / Exp</t>
  </si>
  <si>
    <t>Fenchuganj, 90MW PS,U-1, Imp</t>
  </si>
  <si>
    <t>Fenchuganj, 90MW PS,U-2 / Imp</t>
  </si>
  <si>
    <t>Net Generation of Fenchuganj, 2X90MW (PDB) Power Station</t>
  </si>
  <si>
    <t>Fenchuganj, 51MW (Barkatulla) RPP, Exp</t>
  </si>
  <si>
    <t>05015877</t>
  </si>
  <si>
    <t>Fenchuganj, 51MW (Barkatulla) RPP, Imp</t>
  </si>
  <si>
    <t>Net Generation of Fenchuganj, Barkatullah, Power Station</t>
  </si>
  <si>
    <t>Fenchuganj, 50MW Energy Prima, Exp</t>
  </si>
  <si>
    <t>Fenchuganj, 50MW Energy Prima, Imp</t>
  </si>
  <si>
    <t xml:space="preserve">Net Generation of Fenchuganj, Energy Prima  50 MW </t>
  </si>
  <si>
    <t>Kumar gaon, PDB,20 MW, Exp</t>
  </si>
  <si>
    <t>Kumar gaon, PDB,20 MW, Imp</t>
  </si>
  <si>
    <t>Net Generation of Kumargaon 20 MW ( PDB) Power Station</t>
  </si>
  <si>
    <t>Kumar gaon, Desh,10 MW, Exp</t>
  </si>
  <si>
    <t>Kumar gaon, Desh,10 MW, Imp</t>
  </si>
  <si>
    <t xml:space="preserve">Net Generation of Kumargaon 10 MW RPP(Desh) </t>
  </si>
  <si>
    <t>Kumar gaon, Hossaf , 50 MW, Exp</t>
  </si>
  <si>
    <t>Kumar gaon, Hossaf , 50 MW, Imp</t>
  </si>
  <si>
    <t>Net Generation Kumar gaon, Hossaf , 50 MW</t>
  </si>
  <si>
    <t>PDB Gas Turbine, 150MW, Exp</t>
  </si>
  <si>
    <t>Net Generation PDB Gas Turbine, 150MW</t>
  </si>
  <si>
    <t>SYLHET-EAUD TOTAL GENERATION</t>
  </si>
  <si>
    <t>Mymensingh</t>
  </si>
  <si>
    <t>Dorin, Allenga, 22MW, Exp</t>
  </si>
  <si>
    <t>Dorin, Allenga, 22MW, Imp</t>
  </si>
  <si>
    <t>Net Generation 22MW Dorin,Elenga.</t>
  </si>
  <si>
    <t>Kata Khali 50MW QRPP, Exp</t>
  </si>
  <si>
    <t>Kata Khali 50MW QRPP, Imp</t>
  </si>
  <si>
    <t>Net Generation Katakhali 50 MW.</t>
  </si>
  <si>
    <t>RAJSHAHI-EAUD TOTAL GENERATION</t>
  </si>
  <si>
    <t>71 MW, Bhagabari, PDB, Exp</t>
  </si>
  <si>
    <t>83B346493</t>
  </si>
  <si>
    <t>71 MW, Bhagabari, PDB, Imp</t>
  </si>
  <si>
    <t>90B623699</t>
  </si>
  <si>
    <t>100 MW, Baghabari, PDB, Exp</t>
  </si>
  <si>
    <t>02138474</t>
  </si>
  <si>
    <t>Net Generation Baghabari , PDB, 100 MW</t>
  </si>
  <si>
    <t>Westmont, IPP, Exp</t>
  </si>
  <si>
    <t>Westmont, IPP, Imp</t>
  </si>
  <si>
    <t>Net Generation Westmont IPP</t>
  </si>
  <si>
    <t>Net Generation GBB Power Plant,.</t>
  </si>
  <si>
    <t>Net Generation 50MW(PDB) Baghabari</t>
  </si>
  <si>
    <t>20 MW (Rental) EPL , Bogra, Exp</t>
  </si>
  <si>
    <t>09468521</t>
  </si>
  <si>
    <t>20 MW (Rental) EPL , Bogra, Imp</t>
  </si>
  <si>
    <t>Net Generation 20 MW (Rental) EPL , Bogra</t>
  </si>
  <si>
    <t>70 MWPeaking (PDB),Bera,Pabna, Exp</t>
  </si>
  <si>
    <t>70 MWPeaking (PDB),Bera,Pabna, Imp</t>
  </si>
  <si>
    <t>Net Generation 70 MWPeaking (PDB),Bera,Pabna</t>
  </si>
  <si>
    <t>BOGRA-EAUD TOTAL GENERATION</t>
  </si>
  <si>
    <t>Net Generation Baropukuria Power Station</t>
  </si>
  <si>
    <t>Net Generation Rangpur 20 MW Power Station</t>
  </si>
  <si>
    <t>Net Generation Saidpur 20 MW Power Station</t>
  </si>
  <si>
    <t>RZ Power Ltd. 50 MW RPP, Exp</t>
  </si>
  <si>
    <t>RZ Power Ltd. 50 MW RPP, Imp</t>
  </si>
  <si>
    <t>Net Generation RZ Power Ltd. 50 MW RPP</t>
  </si>
  <si>
    <t>RANGPUR-EAUD TOTAL GENERATION</t>
  </si>
  <si>
    <t>Khulna 40 MW (Aggreko), Exp</t>
  </si>
  <si>
    <t>Khulna 40 MW (Aggreko), Imp</t>
  </si>
  <si>
    <t>Net Generation Khulna 40 MW Agerrico , RPP</t>
  </si>
  <si>
    <t>Khulna 55MW RPP (Aggreko) L-1, Exp</t>
  </si>
  <si>
    <t>Khulna 55MW RPP (Aggreko) L-2, Exp</t>
  </si>
  <si>
    <t>Khulna 55MW RPP (Aggreko) L-3, Exp</t>
  </si>
  <si>
    <t>Khulna 55MW RPP (Aggreko) L-1, Imp</t>
  </si>
  <si>
    <t>Khulna 55MW RPP (Aggreko) L-2, Imp</t>
  </si>
  <si>
    <t>Khulna 55MW RPP (Aggreko) L-3, Imp</t>
  </si>
  <si>
    <t>Net Generation Khulna 55 MW Agreko</t>
  </si>
  <si>
    <t>Net Generation KPCL,IPP 110 MW RPP</t>
  </si>
  <si>
    <t>Khulna Power Station-110 MW(PDB)</t>
  </si>
  <si>
    <t>Self Consumption (Aux-1)</t>
  </si>
  <si>
    <t>Auxiliary -2</t>
  </si>
  <si>
    <t>Net Generation Khulna 110 MW PDB Power Station</t>
  </si>
  <si>
    <t>Khulna  60 MW</t>
  </si>
  <si>
    <t>Self Consumption (Aux-1 )</t>
  </si>
  <si>
    <t>Net Generation Khulna 60 MW PDB Power Station</t>
  </si>
  <si>
    <t>Bheramara 110MW  RPP (Quantum), Exp</t>
  </si>
  <si>
    <t>Bheramara 110MW  RPP (Quantum), Imp</t>
  </si>
  <si>
    <t>Net Generation Bheramara 110MW  RPP (Quantum)</t>
  </si>
  <si>
    <t>Noapara 105MW RPP (Quantum), Exp</t>
  </si>
  <si>
    <t>Noapara 105MW RPP (Quantum), Imp</t>
  </si>
  <si>
    <t xml:space="preserve"> Net Generation Noapara 105MW RPP (Quantum)</t>
  </si>
  <si>
    <t>KPCL- IPP-115MW, Exp</t>
  </si>
  <si>
    <t>KPCL- IPP-115MW, Imp</t>
  </si>
  <si>
    <t>40MW Khanjahan Ali (RPP), Noapara, Exp</t>
  </si>
  <si>
    <t>40MW Khanjahan Ali (RPP), Noapara, Imp</t>
  </si>
  <si>
    <t>Self Consumption, Aux-1</t>
  </si>
  <si>
    <t>Self Consumption, Aux-2</t>
  </si>
  <si>
    <t>Self Consumption, Aux-3</t>
  </si>
  <si>
    <t>Self Consumption-Control Room</t>
  </si>
  <si>
    <t>Net Generation Bheramara Power Station</t>
  </si>
  <si>
    <t>Barishal</t>
  </si>
  <si>
    <t>DPS Barishal, U-5</t>
  </si>
  <si>
    <t>DPS Barishal, U-8</t>
  </si>
  <si>
    <t>DPS Barishal, U-7</t>
  </si>
  <si>
    <t>DPS  Aux</t>
  </si>
  <si>
    <t>Net Generation DPS Barishal,</t>
  </si>
  <si>
    <t xml:space="preserve">Barisal  GT-1 </t>
  </si>
  <si>
    <t>Barisal  GT-2</t>
  </si>
  <si>
    <t xml:space="preserve">GT-Aux </t>
  </si>
  <si>
    <t>Net Generation GT Barishal,</t>
  </si>
  <si>
    <t>DPS Bhola, U-1</t>
  </si>
  <si>
    <t>DPS Bhola, U-2</t>
  </si>
  <si>
    <t>Monitor</t>
  </si>
  <si>
    <t>DPS Bhola, U-3</t>
  </si>
  <si>
    <t>DPS Aux,  Bhola</t>
  </si>
  <si>
    <t>Net Generation DPS Bhola</t>
  </si>
  <si>
    <t>34.5 RPP -1 Bhola</t>
  </si>
  <si>
    <t>34.5 RPP -2 Bhola</t>
  </si>
  <si>
    <t xml:space="preserve">34.5 RPP -1 Aux </t>
  </si>
  <si>
    <t xml:space="preserve">34.5 RPP -2 Aux </t>
  </si>
  <si>
    <t>Net Generation 34.5 MW Regent, Bhola</t>
  </si>
  <si>
    <t>Faridpur 50 MW P.P  8 Nos. Unit, Exp</t>
  </si>
  <si>
    <t>Faridpur 50 MW P.P  8 Nos. Unit, Imp</t>
  </si>
  <si>
    <t>Net Generation Faridpur 50 MW P.P  8 Nos. Unit</t>
  </si>
  <si>
    <t>Gopalganj 100 MW P.P  16 Nos Unit, Exp</t>
  </si>
  <si>
    <t>Gopalganj 100 MW P.P  16 Nos Unit, Imp</t>
  </si>
  <si>
    <t>Net Generation Gopalganj 100 MW P.P  16 Nos Unit</t>
  </si>
  <si>
    <t>BARISAL-EAUD TOTAL GENERATION</t>
  </si>
  <si>
    <t>ALL BANGLADESH (NATIONAL) GENERATION</t>
  </si>
  <si>
    <t>MYMEN-EAUD TOTAL GENERATION</t>
  </si>
  <si>
    <t>100 MW, Baghabari, PDB, Imp</t>
  </si>
  <si>
    <t>Rangpur, 20 MW GT, Exp</t>
  </si>
  <si>
    <t>Rangpur, 20 MW GT, Imp</t>
  </si>
  <si>
    <t>Aux use from Syedpur Grid</t>
  </si>
  <si>
    <t>GT-1 Aux</t>
  </si>
  <si>
    <t>Chandpur CP 150MW ( PDB ), Imp-GT</t>
  </si>
  <si>
    <t>Chandpur CP 150MW ( PDB ), Imp-ST</t>
  </si>
  <si>
    <t>Hatia Diesel, Exp-4</t>
  </si>
  <si>
    <t>Hatia Diesel, Imp-4</t>
  </si>
  <si>
    <t>Hatia Diesel, Imp-1</t>
  </si>
  <si>
    <t>RPCL 52 MW-Gazipur, Exp</t>
  </si>
  <si>
    <t>RPCL 52 MW-Gazipur, Imp</t>
  </si>
  <si>
    <t>Net Generation of RPCL 52 MW RPP</t>
  </si>
  <si>
    <t>Export to Saidpur GT</t>
  </si>
  <si>
    <t xml:space="preserve"> (KVARh) </t>
  </si>
  <si>
    <t xml:space="preserve"> (KVARh)</t>
  </si>
  <si>
    <t>NWPGCL,150MW,Sirajganj,Exp</t>
  </si>
  <si>
    <t>NWPGCL,150MW,Sirajganj,Imp</t>
  </si>
  <si>
    <t>50 MW Peaking(PDB),Santahar,Bogra,EXP</t>
  </si>
  <si>
    <t>50 MW Peaking(PDB),Santahar,Bogra,Imp</t>
  </si>
  <si>
    <t>Net Generation 50MW(PDB) Santahar</t>
  </si>
  <si>
    <r>
      <t>NEPC, IPP, 110 MW ( A</t>
    </r>
    <r>
      <rPr>
        <vertAlign val="superscript"/>
        <sz val="8"/>
        <rFont val="Arial"/>
        <family val="2"/>
      </rPr>
      <t>+</t>
    </r>
    <r>
      <rPr>
        <sz val="8"/>
        <rFont val="Arial"/>
        <family val="2"/>
      </rPr>
      <t>)-Exp</t>
    </r>
  </si>
  <si>
    <r>
      <t>NEPC, IPP, 110 MW ( A</t>
    </r>
    <r>
      <rPr>
        <vertAlign val="superscript"/>
        <sz val="8"/>
        <rFont val="Arial"/>
        <family val="2"/>
      </rPr>
      <t>-</t>
    </r>
    <r>
      <rPr>
        <sz val="8"/>
        <rFont val="Arial"/>
        <family val="2"/>
      </rPr>
      <t xml:space="preserve"> )-Imp</t>
    </r>
  </si>
  <si>
    <t>PPP 50MW,Katakhali,Exp</t>
  </si>
  <si>
    <t>PPP 50MW,Katakhali,Imp</t>
  </si>
  <si>
    <t>Net Generation PPP Katakhali 50 MW.</t>
  </si>
  <si>
    <t>Horipur, SBU, 100 MW MTR-1, Exp</t>
  </si>
  <si>
    <t>Horipur, SBU, 100 MW MTR-2, Exp</t>
  </si>
  <si>
    <t>Horipur, SBU, 100 MW MTR-1, Imp</t>
  </si>
  <si>
    <t>Horipur, SBU, 100 MW MTR-2, Imp</t>
  </si>
  <si>
    <t>Diffrrence KWh</t>
  </si>
  <si>
    <t>Net Generation Bhaghabari 71 MW.</t>
  </si>
  <si>
    <t>25MW-Raozan RPCL Rental P/S</t>
  </si>
  <si>
    <t>Net Generation of 25MW-Rawzan RPCL P/S</t>
  </si>
  <si>
    <t>G002274373</t>
  </si>
  <si>
    <t>Horipur, 412 MW CCPP,EGCB Ltd,Exp</t>
  </si>
  <si>
    <t>Horipur, 412 MW CCPP,EGCB Ltd,Imp</t>
  </si>
  <si>
    <t>Net Generation of Haripur 412MW CCPP</t>
  </si>
  <si>
    <t>Net Generation 150MW,NWPGCL,On 17/06/2013</t>
  </si>
  <si>
    <t>1102A039-01</t>
  </si>
  <si>
    <t>Net Generation of Jhulda Power Station</t>
  </si>
  <si>
    <t>New meter</t>
  </si>
  <si>
    <t>X-Former, AV</t>
  </si>
  <si>
    <t>Estimated</t>
  </si>
  <si>
    <t>Malancha, EPZ, 33KV Exp, (Agrabd)</t>
  </si>
  <si>
    <t>Malancha, EPZ, 33KV Imp, (Agrabd)</t>
  </si>
  <si>
    <t>Khulna+Jessore</t>
  </si>
  <si>
    <t>SN-41988</t>
  </si>
  <si>
    <t>Westmont, IPP, Exp(0.4kv side)</t>
  </si>
  <si>
    <t>Westmont, IPP, ImpExp(0.4kv side)</t>
  </si>
  <si>
    <t>Ashuganj Midland 51 MW, Exp</t>
  </si>
  <si>
    <t>Ashuganj Midland 51 MW, Imp</t>
  </si>
  <si>
    <t>Net Generation Ashuganj Midland 51 MW</t>
  </si>
  <si>
    <t>CCPP Aux. feeder</t>
  </si>
  <si>
    <t>Raj Lanka Power Gen o.Ltd 55MW IPP,Exp</t>
  </si>
  <si>
    <t>Raj Lanka Power Gen o.Ltd 55MW IPP,Imp</t>
  </si>
  <si>
    <t>bharampur line -1,exp(A+)</t>
  </si>
  <si>
    <t>bharampur line -1,imp(A-)</t>
  </si>
  <si>
    <t>bharampur line -2,exp(A+)</t>
  </si>
  <si>
    <t>bharampur line -2,imp(A-)</t>
  </si>
  <si>
    <t>ZONE: DIST.MYMENSING</t>
  </si>
  <si>
    <t>O &amp; M  MOULVIBAZAR</t>
  </si>
  <si>
    <t>O &amp; M SYLHET</t>
  </si>
  <si>
    <t>ZONE: DIST.SYLHET</t>
  </si>
  <si>
    <t>ZONE:DIST:COMILLA</t>
  </si>
  <si>
    <t>ZONE:DIST:CHITTAGONG</t>
  </si>
  <si>
    <t>Deviation</t>
  </si>
  <si>
    <t>%</t>
  </si>
  <si>
    <t>Sonagazi 900 KW Wind plant (PDB), Del.</t>
  </si>
  <si>
    <t>Sonagazi 900 KW Wind plant (PDB), Rec.</t>
  </si>
  <si>
    <t>05017220</t>
  </si>
  <si>
    <t>Fenchuganj, 51MW (Barkatulla) RPP, imp</t>
  </si>
  <si>
    <t>Net Generation Baharampur Ckt 1 &amp; 2</t>
  </si>
  <si>
    <t>Total Exp</t>
  </si>
  <si>
    <t>Total Imp</t>
  </si>
  <si>
    <t>Baraka Patenga Imp, (Hali)</t>
  </si>
  <si>
    <t>Baraka Patenga Exp, (Hali)</t>
  </si>
  <si>
    <t>100 MW, Baghabari, PDB, Imp (Gas Booster)</t>
  </si>
  <si>
    <t>X-Former, AU</t>
  </si>
  <si>
    <t>Unit calculated due to R phase PT damage</t>
  </si>
  <si>
    <t>34.5 RPP -3 Bhola</t>
  </si>
  <si>
    <t xml:space="preserve">34.5 RPP -3Aux </t>
  </si>
  <si>
    <t>Net Generation of Baraka patenga Power Station</t>
  </si>
  <si>
    <t>Digital accossites Exp</t>
  </si>
  <si>
    <t xml:space="preserve">Digital accossites Imp </t>
  </si>
  <si>
    <t>Regent power plant 108MW,Exp</t>
  </si>
  <si>
    <t>Regent power plant 108MW,Imp</t>
  </si>
  <si>
    <t>Net Generation of Regent power plant 108 MW</t>
  </si>
  <si>
    <t>Plant is Under Shutdown</t>
  </si>
  <si>
    <t>12568020(New) 13:12hr-12:00hr</t>
  </si>
  <si>
    <t>12568022(New) 11:04hr-12:00hr</t>
  </si>
  <si>
    <t>Name of the Utility/Customer</t>
  </si>
  <si>
    <t>O &amp; M TANGAIL</t>
  </si>
  <si>
    <t>O &amp; M  COMILLA</t>
  </si>
  <si>
    <t>O &amp; M NOAKHALI</t>
  </si>
  <si>
    <t>O &amp; M CTG (EAST)</t>
  </si>
  <si>
    <t>O &amp; M CTG (WEST)</t>
  </si>
  <si>
    <t>O &amp; M CTG (NORTH)</t>
  </si>
  <si>
    <t>O &amp; M CTG (SOUTH)</t>
  </si>
  <si>
    <t>RANGAMATI</t>
  </si>
  <si>
    <t xml:space="preserve"> GENERATION- IMPORT COMPARISON</t>
  </si>
  <si>
    <t>Ashuganj Agreeko 95MW QRPP, Exp</t>
  </si>
  <si>
    <t>Ashuganj Agreeko 95MW QRPP, Imp</t>
  </si>
  <si>
    <t>B. Baria Agreeko 85MW, Exp</t>
  </si>
  <si>
    <t>B. Baria Agreeko 85MW, Imp</t>
  </si>
  <si>
    <t>S/N</t>
  </si>
  <si>
    <t>PBS (WZPDCL Area)</t>
  </si>
  <si>
    <t>ECPV Chittagong 108MW Plant,Exp</t>
  </si>
  <si>
    <t>ECPV Chittagong 108MW Plant,imp</t>
  </si>
  <si>
    <t>Net Generation of Swandip Disel Power Station</t>
  </si>
  <si>
    <t>Net Generation of ECPV 108MW Power plant</t>
  </si>
  <si>
    <t>New meter from 8/12/14</t>
  </si>
  <si>
    <t xml:space="preserve"> Net Generation 52.5MW Lakdhanvi Bangla Power Lt </t>
  </si>
  <si>
    <t xml:space="preserve"> Net Generation Sonagazi 900 KW Wind plant (PDB)</t>
  </si>
  <si>
    <t>Total Export</t>
  </si>
  <si>
    <t>Total Import</t>
  </si>
  <si>
    <t>Auxiliary</t>
  </si>
  <si>
    <t>Remarks</t>
  </si>
  <si>
    <t>Engine-1 Meter</t>
  </si>
  <si>
    <t>Engine-2 Meter</t>
  </si>
  <si>
    <t>Sawndip Disel Power Station, Engine-1</t>
  </si>
  <si>
    <t>Sawndip Disel Power Station, Engine-2</t>
  </si>
  <si>
    <t>APSCL 225 MW CC,ashugong,Exp</t>
  </si>
  <si>
    <t>APSCL 225 MW CC,ashugong,Imp</t>
  </si>
  <si>
    <t>CR 097940</t>
  </si>
  <si>
    <t>Net Generation APSCL 225 MW CC</t>
  </si>
  <si>
    <t>Net Generation United power co.ltd</t>
  </si>
  <si>
    <t>Sinha Peoples Energy Ltd. 52.5 MW Exp</t>
  </si>
  <si>
    <t>Sinha Peoples Energy Ltd. 52.5 MW Imp</t>
  </si>
  <si>
    <t xml:space="preserve">Net Generation of Sinha Energy Ltd. 52.5 MW </t>
  </si>
  <si>
    <t>OMF</t>
  </si>
  <si>
    <t>Summmit Meghnaghat 335MW,Gt-1 Exp</t>
  </si>
  <si>
    <t>Summmit Meghnaghat 335MW,Gt-1 Imp</t>
  </si>
  <si>
    <t>Summmit Meghnaghat 335MW,Gt-2 Exp</t>
  </si>
  <si>
    <t>Summmit Meghnaghat 335MW,Gt-2 Imp</t>
  </si>
  <si>
    <t>Net Generation of Summit 335MW</t>
  </si>
  <si>
    <t>Summit Bibiyana II,341 MW,GT,Exp</t>
  </si>
  <si>
    <t>Summit Bibiyana II,341 MW,ST,Exp</t>
  </si>
  <si>
    <t>Net Generation Summit Bibiyana II,341 MW</t>
  </si>
  <si>
    <t>Aux from Borhanuddin 33 KV Ckt-1</t>
  </si>
  <si>
    <t>Aux from Borhanuddin 33 KV Ckt-2</t>
  </si>
  <si>
    <t xml:space="preserve">Net Generation  Bhola 225 MW  CCPP </t>
  </si>
  <si>
    <t>Net Exp</t>
  </si>
  <si>
    <t>Net Imp</t>
  </si>
  <si>
    <t>55MW-Rental P/S Sikalbaha-Energies</t>
  </si>
  <si>
    <t>Difference</t>
  </si>
  <si>
    <t>Bhola 225 MW GT-1 Exp</t>
  </si>
  <si>
    <t>Bhola 225 MW GT-2 Exp</t>
  </si>
  <si>
    <t>Bhola 225 MW STG Exp</t>
  </si>
  <si>
    <t>Bhola 225 MW GT-1 Imp</t>
  </si>
  <si>
    <t>Bhola 225 MW GT-2 Imp</t>
  </si>
  <si>
    <t>Bhola 225 MW STG Imp</t>
  </si>
  <si>
    <t>CR 097941</t>
  </si>
  <si>
    <t>Ghorashal 100 MW-Agrreko,+P-Exp(New)</t>
  </si>
  <si>
    <t>Ghorashal 100 MW-Agrreko,-P-Imp(New)</t>
  </si>
  <si>
    <t>Summit Bibiyana II,341 MW,ST,imp</t>
  </si>
  <si>
    <t>Exp</t>
  </si>
  <si>
    <t>Imp</t>
  </si>
  <si>
    <t>Summmit  55MW,Madanganj,RPP, Exp</t>
  </si>
  <si>
    <t>Summmit  55MW,Madanganj,RPP, Imp</t>
  </si>
  <si>
    <t>APSCL 450 MW CC,ashugong,Aux,Tr,imp</t>
  </si>
  <si>
    <t>Total  Exp</t>
  </si>
  <si>
    <t>Total  Imp</t>
  </si>
  <si>
    <t>Net Generation APSCL 450 MW CC</t>
  </si>
  <si>
    <t>Kutubdia Electric/S Wind P/Plant</t>
  </si>
  <si>
    <t>Kutubdia Electric/S (Primac-1)</t>
  </si>
  <si>
    <t>Kutubdia Electric/S (Primac-2)</t>
  </si>
  <si>
    <t>120MW Barisal Summit Exp</t>
  </si>
  <si>
    <t>120MW Barisal Summit Imp</t>
  </si>
  <si>
    <t>Net Generation Barisal Summit Power</t>
  </si>
  <si>
    <t>Tripura 100MW,Comilla,Ckt-1</t>
  </si>
  <si>
    <t>Tripura 100MW,Comilla,Ckt-2</t>
  </si>
  <si>
    <t>Net Gen Summit,Madanganj,55MW,RPP</t>
  </si>
  <si>
    <t>Net Generation Tripura Ckt 1 &amp; 2</t>
  </si>
  <si>
    <t>000197</t>
  </si>
  <si>
    <t>000198</t>
  </si>
  <si>
    <t>000201</t>
  </si>
  <si>
    <t>Wind</t>
  </si>
  <si>
    <t>9=6*7*8</t>
  </si>
  <si>
    <t>Overseas Energy (From India)</t>
  </si>
  <si>
    <t>Sonagazi 900KW Wind Plant</t>
  </si>
  <si>
    <t>Net Import From India Via Baharampur and Tripura Ckt :</t>
  </si>
  <si>
    <t xml:space="preserve">  H)</t>
  </si>
  <si>
    <t>Kwh</t>
  </si>
  <si>
    <t>Feeder/Circuit Name</t>
  </si>
  <si>
    <t>C.F</t>
  </si>
  <si>
    <t>Overseas Energy Import Statement (From India):</t>
  </si>
  <si>
    <t>KWh</t>
  </si>
  <si>
    <t>(iii)</t>
  </si>
  <si>
    <t>Total Overseas Energy Import:</t>
  </si>
  <si>
    <t>Export</t>
  </si>
  <si>
    <t>Import</t>
  </si>
  <si>
    <t>Net Generation Shahjibazar 330 MW CCPP</t>
  </si>
  <si>
    <t>5=4-3</t>
  </si>
  <si>
    <t xml:space="preserve">Total BPDB Zone Import </t>
  </si>
  <si>
    <t>WZPDCL Import</t>
  </si>
  <si>
    <t>WZPDCL  areaTotal Import</t>
  </si>
  <si>
    <t>PBS (BPDB Zons) Import</t>
  </si>
  <si>
    <t>Narayanganj PBS -2 Import</t>
  </si>
  <si>
    <t>Narsingdi PBS - 1 Import</t>
  </si>
  <si>
    <t>Narsingdi PBS - 2 Import</t>
  </si>
  <si>
    <t>Dhaka PBS - 1 Import</t>
  </si>
  <si>
    <t>Dhaka PBS - 2 Import</t>
  </si>
  <si>
    <t>Dhaka PBS - 3 Import</t>
  </si>
  <si>
    <t>Manikganj PBS Import</t>
  </si>
  <si>
    <t>Munshiganj PBS Import</t>
  </si>
  <si>
    <t>PBS Total (DPDC Zone) Import</t>
  </si>
  <si>
    <t>Total Sale to Utilities</t>
  </si>
  <si>
    <t>Net Generation (Public+Private)</t>
  </si>
  <si>
    <t>Feed back Units in KWh</t>
  </si>
  <si>
    <t>Current Month Import in KWh With Last Month</t>
  </si>
  <si>
    <t>Dhaka Southern Power Ltd Exp Line -1</t>
  </si>
  <si>
    <t>Dhaka Southern Power Ltd Imp line-1</t>
  </si>
  <si>
    <t>Dhaka Southern Power Ltd Exp line-2</t>
  </si>
  <si>
    <t>Dhaka Southern Power Ltd Imp line-2</t>
  </si>
  <si>
    <t>Dhaka Northern Power Ltd Line-1, Exp</t>
  </si>
  <si>
    <t>Dhaka Northern Power Ltd Line-1, Imp</t>
  </si>
  <si>
    <t>Dhaka Northern Power Ltd Line-2,Exp</t>
  </si>
  <si>
    <t>Dhaka Northern Power Ltd Line-2, Imp</t>
  </si>
  <si>
    <t>Net Generation of Dhaka Southern Power Ltd</t>
  </si>
  <si>
    <t>Net Generation of Dhaka Northern Power Ltd</t>
  </si>
  <si>
    <t>United power co.ltd,195 MW,Exp</t>
  </si>
  <si>
    <t>United power co.ltd,195 MW,Imp</t>
  </si>
  <si>
    <t>Summary on Generation-Sale &amp; Transmission Loss:</t>
  </si>
  <si>
    <t>Description</t>
  </si>
  <si>
    <t xml:space="preserve"> Energy in Kwh</t>
  </si>
  <si>
    <t>A) Import to Grid Network:</t>
  </si>
  <si>
    <t>Gross Import to Grid Network in KWH:</t>
  </si>
  <si>
    <t>B) Export or Sale to Utilities:</t>
  </si>
  <si>
    <t xml:space="preserve">Export to BPDB Distribution Zone, Mymensing </t>
  </si>
  <si>
    <t>Export to BPDB Distribution Zone, Sylhet</t>
  </si>
  <si>
    <t>Export to BPDB Distribution Zone, Comilla</t>
  </si>
  <si>
    <t>Export to BPDB Distribution Zone, Chittagong</t>
  </si>
  <si>
    <t>Export to DPDC (132KV &amp; 33KV Level)</t>
  </si>
  <si>
    <t>Export to DESCO (33KV Level)</t>
  </si>
  <si>
    <t>Export to WZPDCL (33KV Level)</t>
  </si>
  <si>
    <t>Total Sale to Utilities and 132KV Retail Consumer:</t>
  </si>
  <si>
    <t>Import-Sale Balance [A-B] :</t>
  </si>
  <si>
    <t>Percentage of Transmission Loss:</t>
  </si>
  <si>
    <t>Superintending Engineer</t>
  </si>
  <si>
    <t>EAU, BPDB, Dhaka</t>
  </si>
  <si>
    <t>DPDC Import (132 &amp; 33 KV)</t>
  </si>
  <si>
    <t>Export to BPDB 132KV &amp; 230KV  Retail Consumer</t>
  </si>
  <si>
    <t>CLC Power, Bosila 108MW P/S Exp</t>
  </si>
  <si>
    <t>CLC Power, Bosila 108MW P/S Imp</t>
  </si>
  <si>
    <t>Net Generation of CLC Power,Bosila</t>
  </si>
  <si>
    <t>Ashuganj Midland 51 MW, Exp new meter</t>
  </si>
  <si>
    <t>Ashuganj Midland 51 MW, Imp new meter</t>
  </si>
  <si>
    <t>Totoal Exp</t>
  </si>
  <si>
    <t>Net Generation Of Jamalpur</t>
  </si>
  <si>
    <t>Jamalpur Powerplant Ltd, Powerpac, Mutiara Exp</t>
  </si>
  <si>
    <t>Jamalpur Powerplant Ltd, Powerpac, Mutiara Imp</t>
  </si>
  <si>
    <t>HT01160015</t>
  </si>
  <si>
    <t>APSCL 225 MW CC,ashugong,Exp ST</t>
  </si>
  <si>
    <t>CR100874</t>
  </si>
  <si>
    <t>APSCL 225 MW CC,ashugong,Imp ST</t>
  </si>
  <si>
    <t>Peaking Power Plant, 100 MW, Amnura, Exp</t>
  </si>
  <si>
    <t>Peaking Power Plant, 100 MW, Amnura, Imp</t>
  </si>
  <si>
    <t>Net Generation Raj Lanka Power Gen, 55MW</t>
  </si>
  <si>
    <t>Net Generation of Peaking Power Plant, 100MW</t>
  </si>
  <si>
    <t>Ashuganj Generator -2(new meter)</t>
  </si>
  <si>
    <t>Ashuganj Generator -4(new meter)</t>
  </si>
  <si>
    <t>Ashuganj GT-2(new meter)</t>
  </si>
  <si>
    <t>X-Former,OAT2 (new meter)</t>
  </si>
  <si>
    <t>X-Former,OAT3 (new meter)</t>
  </si>
  <si>
    <t>APSCL 450 MW CC,ashugong, North Exp</t>
  </si>
  <si>
    <t>APSCL 450 MW CC,ashugong, North Imp</t>
  </si>
  <si>
    <t>Tota Imp</t>
  </si>
  <si>
    <t>Net Generation APSCL 450 MW North</t>
  </si>
  <si>
    <t>KPCL, IPP, 110 MW,Tiger-1, Exp</t>
  </si>
  <si>
    <t>KPCL, IPP, 110 MW,Tiger-3, Exp</t>
  </si>
  <si>
    <t>KPCL, IPP, 110 MW,Tiger-1, Imp</t>
  </si>
  <si>
    <t>KPCL, IPP, 110 MW,Tiger-3, Imp</t>
  </si>
  <si>
    <t>APSCL 450 MW CC,ashugong,Aux.Tr,IMP</t>
  </si>
  <si>
    <t>NWPGCL GTG, imp(A+)</t>
  </si>
  <si>
    <t>O2814315</t>
  </si>
  <si>
    <t>NWPGCL GTG, exp(A-)</t>
  </si>
  <si>
    <t xml:space="preserve">NWPGCL ST. AUX,exp(A-) </t>
  </si>
  <si>
    <t>O2814313</t>
  </si>
  <si>
    <t>Shajahanullah Power Gen co ltd,28 MW, Exp</t>
  </si>
  <si>
    <t>Shajahanullah Power Gen co ltd,28 MW, Imp</t>
  </si>
  <si>
    <t>Net Generation of Shajahanullah Power Gen Co.</t>
  </si>
  <si>
    <t>United power co.ltd,195 MW,Exp New meter</t>
  </si>
  <si>
    <t xml:space="preserve">United power co.ltd,195 MW,Imp </t>
  </si>
  <si>
    <t>Total export</t>
  </si>
  <si>
    <t>Shamirpur 132KV-2/Exp ( 225MW)</t>
  </si>
  <si>
    <t>Shamirpur 132KV-2/Imp ( 225MW)</t>
  </si>
  <si>
    <t>GBB  Bogra, Exp (13.05.17-31.05.17)</t>
  </si>
  <si>
    <t>GBB  Bogra, Imp (13.05.17-31.05.17)</t>
  </si>
  <si>
    <t xml:space="preserve">APSCL 450 MW CC,ashugong,Imp </t>
  </si>
  <si>
    <t xml:space="preserve">        </t>
  </si>
  <si>
    <t>Cross Border Import</t>
  </si>
  <si>
    <t>P-2</t>
  </si>
  <si>
    <t>KPCL 163 MW CCPP Fenchuganj</t>
  </si>
  <si>
    <t>Dhaka PBS - 4 Import</t>
  </si>
  <si>
    <t>Engreen Solar Power Plant, 3 MW, Sarishabari</t>
  </si>
  <si>
    <t>Solar</t>
  </si>
  <si>
    <t>Sailo, Shantahar</t>
  </si>
  <si>
    <t>T-1 (33KV) Exp</t>
  </si>
  <si>
    <t>T-1 (33KV) Imp</t>
  </si>
  <si>
    <t>T-2 (33KV) Exp</t>
  </si>
  <si>
    <t>T-2 (33KV) Imp</t>
  </si>
  <si>
    <t>Net Generation of Banco Energy Generations Ltd</t>
  </si>
  <si>
    <t xml:space="preserve">            </t>
  </si>
  <si>
    <t>Barapukuria 3rd Unit Gen(275 MW)</t>
  </si>
  <si>
    <t>Start Up Transformer (3rd unit Aux)</t>
  </si>
  <si>
    <t>2519131019</t>
  </si>
  <si>
    <t>Net Generation Baropukuria Power Station Unit 3</t>
  </si>
  <si>
    <t>Sarisabari 3 MW Solar P/S Exp</t>
  </si>
  <si>
    <t>Sarisabari 3 MW Solar P/S Imp</t>
  </si>
  <si>
    <t>Net Generation of Sorisabari 3 MW Solar</t>
  </si>
  <si>
    <t>Summit Jangalia, Feeder-1, Exp (new)</t>
  </si>
  <si>
    <t>Summit Jangalia, Feeder-2, Exp (new)</t>
  </si>
  <si>
    <t>Summit Jangalia, Feeder-1, Imp (new)</t>
  </si>
  <si>
    <t>Summit Jangalia, Feeder-2, Imp (new)</t>
  </si>
  <si>
    <t>NESCO Import</t>
  </si>
  <si>
    <t>PBS (NESCO Area)</t>
  </si>
  <si>
    <t>NESCO  areaTotal Import</t>
  </si>
  <si>
    <t>Transmission Loss in KWH</t>
  </si>
  <si>
    <t>NWPGCL STG, imp(A+)</t>
  </si>
  <si>
    <t>NWPGCL STG, exp(A-)</t>
  </si>
  <si>
    <t>Shiddirganj , 335 MW CCPP-1</t>
  </si>
  <si>
    <t>CW011034</t>
  </si>
  <si>
    <t>TotalImp</t>
  </si>
  <si>
    <t>Net Generation of Shiddhirganj,335ME CCPP</t>
  </si>
  <si>
    <t>Net Generation of KPCL 163 MW CCPP</t>
  </si>
  <si>
    <t>Grid Auxi. For Unit-7</t>
  </si>
  <si>
    <t xml:space="preserve">    </t>
  </si>
  <si>
    <t>Export to NESCO (33KV Level)</t>
  </si>
  <si>
    <t>DHKC9174</t>
  </si>
  <si>
    <t xml:space="preserve">Net Generation Aggreko 95 MW  CCPP </t>
  </si>
  <si>
    <t>Aggreko 95 MW, Bhola Exp</t>
  </si>
  <si>
    <t>Aggreko 95 MW, Bhola Imp</t>
  </si>
  <si>
    <t>Hatia Perking 03</t>
  </si>
  <si>
    <t>Hatia Perking 04</t>
  </si>
  <si>
    <t>Hatia Perking 05</t>
  </si>
  <si>
    <t>Bangla Trac Power Unit-1 ltd,Exp</t>
  </si>
  <si>
    <t>Bangla Trac Power Unit-1 ltd,Imp</t>
  </si>
  <si>
    <t>Net Generation of 200MW Bangla Trac</t>
  </si>
  <si>
    <t>Net Generation 40MW khan jahanali</t>
  </si>
  <si>
    <t>100MW BTKPU-2 , Noapara, Exp(A+)</t>
  </si>
  <si>
    <t>100MW BTKPU-2 , Noapara, Exp(A-)</t>
  </si>
  <si>
    <t>Net Generation BTKPU-2</t>
  </si>
  <si>
    <t>Summit Gazipur-2 Power Limited 300MW</t>
  </si>
  <si>
    <t>Net Generation Gazipur-2 Power Ltd</t>
  </si>
  <si>
    <t xml:space="preserve">NWPGC (225 MW) (EXP) Unit-3   </t>
  </si>
  <si>
    <t xml:space="preserve">NWPGC (225 MW) (IMP)  Unit-3  </t>
  </si>
  <si>
    <t>Daudkandi 50 MW ( PDB), Exp New meter</t>
  </si>
  <si>
    <t>Daudkandi 50 MW ( PDB), Imp</t>
  </si>
  <si>
    <t>Aggreko Bangladesh P/S 100 MW, Exp</t>
  </si>
  <si>
    <t>Aggreko Bangladesh P/S 100 MW, Imp</t>
  </si>
  <si>
    <t>PN-1711A046-01</t>
  </si>
  <si>
    <t xml:space="preserve">Net Generation Aggreko Bangladesh P/S </t>
  </si>
  <si>
    <t>APR Energy 300 MW Disel Power Plant,Exp</t>
  </si>
  <si>
    <t>APR Energy 300 MW Disel Power Plant,Imp</t>
  </si>
  <si>
    <t>LGZ 42735573</t>
  </si>
  <si>
    <t>Net Generation of APR Energy</t>
  </si>
  <si>
    <t>Diesel</t>
  </si>
  <si>
    <t>UMPL 200 MW / Exp</t>
  </si>
  <si>
    <t>Net Generation Of UMPL</t>
  </si>
  <si>
    <t>Aggreko Bangladesh Aorahati 100 MW, Exp</t>
  </si>
  <si>
    <t>Aggreko Bangladesh Aorahati 100 MW,Imp</t>
  </si>
  <si>
    <t xml:space="preserve">Net Generation Aorahati </t>
  </si>
  <si>
    <t>6=5-4</t>
  </si>
  <si>
    <t>Power Pac 100 MW / Exp</t>
  </si>
  <si>
    <t>Power Pac 100 MW / Imp</t>
  </si>
  <si>
    <t xml:space="preserve">ACE Alliance Power Plant Limited, 149 MW </t>
  </si>
  <si>
    <t>HVC 400KV ,Exp(A+)</t>
  </si>
  <si>
    <t>HVC 400KV,Imp(A-)</t>
  </si>
  <si>
    <t>HVC 400KV,Exp(A+)</t>
  </si>
  <si>
    <t>Comilla South, Ckt-1</t>
  </si>
  <si>
    <t>Comilla South, Ckt-2</t>
  </si>
  <si>
    <t>20 MW Teknaf Solar (Exp)</t>
  </si>
  <si>
    <t>20 MW Teknaf Solar (Imp)</t>
  </si>
  <si>
    <t>WP004380</t>
  </si>
  <si>
    <t>Net Generation Sailo, Shantahar</t>
  </si>
  <si>
    <t>LGZ38992455</t>
  </si>
  <si>
    <t>LGZ38992456</t>
  </si>
  <si>
    <t>WP004684</t>
  </si>
  <si>
    <t xml:space="preserve">Confidence Power Bogra(113 MW) (EXP) Unit-2   </t>
  </si>
  <si>
    <t>Confidence Power Bogra(113 MW) (IMP) Unit-2</t>
  </si>
  <si>
    <t>Confidence Power Bogra  Net Generation Unit-2</t>
  </si>
  <si>
    <t>Bibiyana -3 GTG Exp</t>
  </si>
  <si>
    <t>Bibiyana -3 GTG Imp</t>
  </si>
  <si>
    <t>Bibiyana -230kv Startup Imp</t>
  </si>
  <si>
    <t>Orion Power Rupsha Limited 105 MW, Exp</t>
  </si>
  <si>
    <t>Orion Power Rupsha Limited 105 MW, Imp</t>
  </si>
  <si>
    <t>Net Generation 105 MW (Orion), Khulna.</t>
  </si>
  <si>
    <t>Julda 100 MW U-3 P/S Exp</t>
  </si>
  <si>
    <t>Julda 100 MW U-3 P/S Imp</t>
  </si>
  <si>
    <t xml:space="preserve">Net Generation of Julda 100MW </t>
  </si>
  <si>
    <t>Desh Energy Chandpur 200MW PP,Tr-1 Exp</t>
  </si>
  <si>
    <t>Desh Energy Chandpur 200MW PP, Tr-1 Imp</t>
  </si>
  <si>
    <t>Desh Energy Chandpur 200MW PP,Tr-2 Exp</t>
  </si>
  <si>
    <t>Desh Energy Chandpur 200MW PP, Tr-2 Imp</t>
  </si>
  <si>
    <t>Desh Energy Chandpur 200MW PP,Tr-3 Exp</t>
  </si>
  <si>
    <t>Desh Energy Chandpur 200MW PP, Tr-3 Imp</t>
  </si>
  <si>
    <t>Desh Energy Chandpur 200MW PP,Tr-4 Exp</t>
  </si>
  <si>
    <t>Desh Energy Chandpur 200MW PP, Tr-4 Imp</t>
  </si>
  <si>
    <t>Midland East 150MW, Exp</t>
  </si>
  <si>
    <t>Midland East 150MW, Imp</t>
  </si>
  <si>
    <t>Net Generation of Midland East 150MW</t>
  </si>
  <si>
    <t>6=(5/3)*100</t>
  </si>
  <si>
    <t xml:space="preserve">APSCL 450 MW CC(South),ashugong,Exp </t>
  </si>
  <si>
    <t>33 Kv Barge Feeder</t>
  </si>
  <si>
    <t>Sikhalbaha 225 MW GT (Exp)</t>
  </si>
  <si>
    <t>Sikhalbaha 225 MW GT (Imp)</t>
  </si>
  <si>
    <t>Sikhalbaha 225 MW ST (Exp)</t>
  </si>
  <si>
    <t>Sikhalhbaha 225 MW ST (Imp)</t>
  </si>
  <si>
    <t xml:space="preserve">Paramount-Btrac 200 MW (Exp)  </t>
  </si>
  <si>
    <t xml:space="preserve">Paramount-Btrac 200 MW (Imp)  </t>
  </si>
  <si>
    <t>Net Generation of Paramount-Btrac 200 MW</t>
  </si>
  <si>
    <t>Shahjibazar,60  MW (PDB), Exp</t>
  </si>
  <si>
    <t>Shahjibazar,60  MW (PDB), Imp</t>
  </si>
  <si>
    <t>02840501</t>
  </si>
  <si>
    <t>Net Generation of  Bibiyana III CCPP</t>
  </si>
  <si>
    <t>Net Generation Shalla 400 KW Solar PS</t>
  </si>
  <si>
    <t>Ghorashal  Power Station,Unit-7(GT)</t>
  </si>
  <si>
    <t>Ghorashal  Power Station,Unit-7(ST)</t>
  </si>
  <si>
    <t>3TR 3(5BA)</t>
  </si>
  <si>
    <t>3TR 3(5BB)</t>
  </si>
  <si>
    <t>3TR 3(6BB)</t>
  </si>
  <si>
    <t>Grid Auxi. For Unit-3 (Re-Powering)</t>
  </si>
  <si>
    <t>Grid Auxi. For Unit-4 (Re-Powering)</t>
  </si>
  <si>
    <t>Modhumoti 105 MW, Exp</t>
  </si>
  <si>
    <t>Modhumoti 105 MW, Imp</t>
  </si>
  <si>
    <t>Net Generation 105 MW (Modhumoti)</t>
  </si>
  <si>
    <t>WP006271</t>
  </si>
  <si>
    <t>Horipur ,IPP, 360 MW GT / Imp</t>
  </si>
  <si>
    <t>Horipur ,IPP, 360 MW, ST / Imp</t>
  </si>
  <si>
    <t>B-type feeder (Recived by S&amp;D Ashuganj)New Meter</t>
  </si>
  <si>
    <t>C-type feeder (Recived by S&amp;D Ashuganj)New Meter</t>
  </si>
  <si>
    <t>Ghorashal  Power Station,Unit-3 (Re-Powering)</t>
  </si>
  <si>
    <t>Baraka Sikhalbaha 105 MW EXP</t>
  </si>
  <si>
    <t>Baraka Sikhalbaha 105 MW IMP</t>
  </si>
  <si>
    <t>Net Generation of Baraka Sikhalbaha 105 MW PS</t>
  </si>
  <si>
    <t>Kaptai 7.4 MW Solar Export</t>
  </si>
  <si>
    <t>Kaptai 7.4 MW Solar Import</t>
  </si>
  <si>
    <t>Net Generation of Kaptai 7.4 MW Solar PS</t>
  </si>
  <si>
    <t>United Anwara 300 MW -Export</t>
  </si>
  <si>
    <t>United Anwara 300 MW -Import</t>
  </si>
  <si>
    <t>Net Generation of  United Anwara 300 MW PS</t>
  </si>
  <si>
    <t>Sinha Power Generation  50 MW QRPP, Exp</t>
  </si>
  <si>
    <t>Sinha Power Generation  50 MW QRPP, Imp</t>
  </si>
  <si>
    <t>Net Generation Sinha 50 MW.</t>
  </si>
  <si>
    <t>Confidence Power Ltd. 113 MW RPP, Exp</t>
  </si>
  <si>
    <t>Confidence Power Ltd. 113 MW RPP, Imp</t>
  </si>
  <si>
    <t>Net Generation Confidence Power 113 MW RPP</t>
  </si>
  <si>
    <t xml:space="preserve">POWER PLANT WISE GENERATION </t>
  </si>
  <si>
    <t>Sl.No.</t>
  </si>
  <si>
    <t>Power Plants</t>
  </si>
  <si>
    <t>Station Use</t>
  </si>
  <si>
    <t>KWH</t>
  </si>
  <si>
    <t xml:space="preserve">60 MW Shikalbaha           </t>
  </si>
  <si>
    <t>i)</t>
  </si>
  <si>
    <t>ii)</t>
  </si>
  <si>
    <t>iii)</t>
  </si>
  <si>
    <t>iv)</t>
  </si>
  <si>
    <t>PDB Total Gas</t>
  </si>
  <si>
    <t>Total Hydro</t>
  </si>
  <si>
    <t>Total Coal</t>
  </si>
  <si>
    <t xml:space="preserve">Khulna  110 MW SPS                                                </t>
  </si>
  <si>
    <t xml:space="preserve">Khulna  60 MW SPS                                                  </t>
  </si>
  <si>
    <t>PDB HFO Engines</t>
  </si>
  <si>
    <t xml:space="preserve">Barisal  Diesel  PS                                                    </t>
  </si>
  <si>
    <t xml:space="preserve">Emergency  Diesel Gen. Hatirpool </t>
  </si>
  <si>
    <t>PDB HSD Plant</t>
  </si>
  <si>
    <t>Isolated Generation</t>
  </si>
  <si>
    <t xml:space="preserve">Sandwip               </t>
  </si>
  <si>
    <t xml:space="preserve">Hatiya                            </t>
  </si>
  <si>
    <t xml:space="preserve">Rangamati                               </t>
  </si>
  <si>
    <t xml:space="preserve">Kutubdia                                 </t>
  </si>
  <si>
    <t>Monpura</t>
  </si>
  <si>
    <t>Mehendigonj</t>
  </si>
  <si>
    <t>v)</t>
  </si>
  <si>
    <t>vi)</t>
  </si>
  <si>
    <t>Sub Total Isolated</t>
  </si>
  <si>
    <t>Total Oil</t>
  </si>
  <si>
    <t>Kutubdia 900KW Wind Plant</t>
  </si>
  <si>
    <t>Sub Total Wind</t>
  </si>
  <si>
    <t>PDB Total</t>
  </si>
  <si>
    <t>Ashugonj (APSCL) Total</t>
  </si>
  <si>
    <t xml:space="preserve">Haripur 412 MW CCPP,EGCB Ltd.                </t>
  </si>
  <si>
    <t>Other Public Co. Gas Plants</t>
  </si>
  <si>
    <t>Other Public Co. HFO Plants</t>
  </si>
  <si>
    <t>Other Public Co. HSD Plants</t>
  </si>
  <si>
    <t>Sub-total( IPP Gas )</t>
  </si>
  <si>
    <t xml:space="preserve">KPCL(110 MW),U-1,Tiger-1,3(Burg)                 </t>
  </si>
  <si>
    <t xml:space="preserve">NEPC Consortium Power Ltd.                                                     </t>
  </si>
  <si>
    <t>Sub-total( IPP Oil ) HFO</t>
  </si>
  <si>
    <t>Sub-total( IPP Oil ) HSD</t>
  </si>
  <si>
    <t>Total IPP Oil ( HFO &amp; HSD)</t>
  </si>
  <si>
    <t xml:space="preserve">Ghorashal, 100 MW (Aggreko)                                 </t>
  </si>
  <si>
    <t>Sub-total( Rental+SIPP Gas )</t>
  </si>
  <si>
    <t xml:space="preserve">Quantum Noapara (105 MW)                                   </t>
  </si>
  <si>
    <t>Sub-total(Rental, SIPP) Oil  HFO</t>
  </si>
  <si>
    <t xml:space="preserve">Thakurgaon 50MW PS(RZ Power Ltd.)                     </t>
  </si>
  <si>
    <t xml:space="preserve">Khulna RPP 55 MW (Aggreko)                                  </t>
  </si>
  <si>
    <t xml:space="preserve">Desh Energy Shiddirganj,100 MW                             </t>
  </si>
  <si>
    <t>Total Rental, SIPP Oil ( HFO &amp; HSD)</t>
  </si>
  <si>
    <t xml:space="preserve">Total(Rental  SIPP) Gas+Oil </t>
  </si>
  <si>
    <t>Total  Gas Generation(Pdb+IPP+Rental)</t>
  </si>
  <si>
    <t>Total  Oil Generation(Pdb+IPP+Rental)</t>
  </si>
  <si>
    <t>Hydro+Wind+Coal+Solar etc.</t>
  </si>
  <si>
    <t>NVVN  250 MW  India (Imported) Phase-I</t>
  </si>
  <si>
    <t>Tripura  160 MW (Imported) G2G</t>
  </si>
  <si>
    <t>PTC 200 MW (Imported) Phase- II</t>
  </si>
  <si>
    <t>NVVN 300MW Bharamara Phase- II</t>
  </si>
  <si>
    <t>Sembcorp Energy India Ltd. 250MW Phase-I</t>
  </si>
  <si>
    <t>Total Imported</t>
  </si>
  <si>
    <t>Others &amp; Renewable Energy</t>
  </si>
  <si>
    <t>Sailo Solar Power Plant Shantahar</t>
  </si>
  <si>
    <t>Total</t>
  </si>
  <si>
    <t>Total Net Generation (BPDB+IPP+RPP+IMP)</t>
  </si>
  <si>
    <t>Bibiyana -3 STG Exp</t>
  </si>
  <si>
    <t>Bibiyana -3 STG Imp</t>
  </si>
  <si>
    <t>Net Generation 225MW,NWPGCL,</t>
  </si>
  <si>
    <t>Zodiac Power Ctg LTD 54.363 MW Exp</t>
  </si>
  <si>
    <t>Zodiac  Power Ctg LTD 54.363 MW Imp</t>
  </si>
  <si>
    <t>Net Generation of   Zodiac Power  54.363 MW  PS</t>
  </si>
  <si>
    <t>Karnaphuli Power LTD 110 MW EXP</t>
  </si>
  <si>
    <t>Karnaphuli Power LTD 110 MW IMP</t>
  </si>
  <si>
    <t>Net Generation of   Karnaphuli Power  110 MW  PS</t>
  </si>
  <si>
    <t>Sympa solar 8MW, Exp</t>
  </si>
  <si>
    <t>Sympa solar 8MW, IMP</t>
  </si>
  <si>
    <t>Net Generation Sympa Solar 8 MW</t>
  </si>
  <si>
    <t xml:space="preserve">Ghorasal Repowered CCPP Unit-3 (210MW)                                </t>
  </si>
  <si>
    <t xml:space="preserve">Ghorasal Repowered CCPP Unit-4 (210MW)                                </t>
  </si>
  <si>
    <t xml:space="preserve">Ghorasal TPP Unit-5 (210MW)     </t>
  </si>
  <si>
    <t xml:space="preserve">Ghorasal 365 MW CCPP Unit-7 (365MW)  </t>
  </si>
  <si>
    <t>Ghorashal 108MW PP (Regent)</t>
  </si>
  <si>
    <t>Ghorashal 78.5 MW PP(MAX)</t>
  </si>
  <si>
    <t>ok</t>
  </si>
  <si>
    <t>Tongi 80 MW GTPP</t>
  </si>
  <si>
    <t>1x235+1x125</t>
  </si>
  <si>
    <t xml:space="preserve">Haripur 360MW CCPP(HPL) </t>
  </si>
  <si>
    <t>Meghnaghat 450 MW CCPP(MPL)</t>
  </si>
  <si>
    <t>2x140+1x170</t>
  </si>
  <si>
    <t>210 MW Siddhirgonj TPP</t>
  </si>
  <si>
    <t>1 x 210</t>
  </si>
  <si>
    <t>1x273+1x139</t>
  </si>
  <si>
    <t xml:space="preserve">2 x 105 </t>
  </si>
  <si>
    <t xml:space="preserve">Siddhirganj 2*120 MW GTPP, EGCB Ltd.  </t>
  </si>
  <si>
    <t>1 x 217</t>
  </si>
  <si>
    <t>Siddhirganj 100 PP(Dutch Bangla)</t>
  </si>
  <si>
    <t>12x8.9</t>
  </si>
  <si>
    <t xml:space="preserve">2x110+1x110 </t>
  </si>
  <si>
    <t>Meghnaghat 100 MW (IEL)</t>
  </si>
  <si>
    <t>Madanganj 102 PP(Summit)</t>
  </si>
  <si>
    <t>6x17</t>
  </si>
  <si>
    <t>Madanganj-55 MW PP(Summit)</t>
  </si>
  <si>
    <t>5x17.08+1x11.3</t>
  </si>
  <si>
    <t>Keraniganj 100 MW PP (Powerpac)</t>
  </si>
  <si>
    <t>8x13.45</t>
  </si>
  <si>
    <t>12x8.924</t>
  </si>
  <si>
    <t>8x2.90</t>
  </si>
  <si>
    <t>Gazipur 52 MW PP (RPCL)</t>
  </si>
  <si>
    <t>6x8.90</t>
  </si>
  <si>
    <t>6x18.415</t>
  </si>
  <si>
    <t>Kodda 150MW PP (BPDB-RPCL)</t>
  </si>
  <si>
    <t>9x17.06</t>
  </si>
  <si>
    <t>Katpotti 52 MW PP (Sinha)</t>
  </si>
  <si>
    <t>7x7.90</t>
  </si>
  <si>
    <t xml:space="preserve">Kamalaghat 54 MW PP (Banco Energy) </t>
  </si>
  <si>
    <t>3x18.69</t>
  </si>
  <si>
    <t xml:space="preserve">Kodda 300 MW PP Unit-2 (Summit) </t>
  </si>
  <si>
    <t>18x17.076</t>
  </si>
  <si>
    <t>Keranigonj 300 MW PP (APR)</t>
  </si>
  <si>
    <t>256x1.4</t>
  </si>
  <si>
    <t>Bramhangoan 100 MW PP (Aggreko)</t>
  </si>
  <si>
    <t>23x0.85+91x.959</t>
  </si>
  <si>
    <t>Aurahati 100MW PP (Aggreko)</t>
  </si>
  <si>
    <t>Nababganj 55 MW PP (Southern power)</t>
  </si>
  <si>
    <t>3x19.3</t>
  </si>
  <si>
    <t>Manikganj 55 MW PP (Northern)</t>
  </si>
  <si>
    <t>12x8.775+1x3.5</t>
  </si>
  <si>
    <t>Sikalbaha 150 MW, Export</t>
  </si>
  <si>
    <t>Sikalbaha 150 MW, Import</t>
  </si>
  <si>
    <t>Karnaphuli Hydro PP Unit-1,2,3,4, 5 (230MW)</t>
  </si>
  <si>
    <t>2x40, 3x50</t>
  </si>
  <si>
    <t>Chattogram TPP-1 (Rauzan 210MW)</t>
  </si>
  <si>
    <t>Chattogram TPP-2 (Rauzan 210MW)</t>
  </si>
  <si>
    <t>Kaptai 7 MW  Solar PP</t>
  </si>
  <si>
    <t>Raozan 25 MW PP (RPCL)</t>
  </si>
  <si>
    <t>3x8.9</t>
  </si>
  <si>
    <t>Teknaf  20MW PP (Solartech)</t>
  </si>
  <si>
    <t>1x20</t>
  </si>
  <si>
    <t>Patenga 50MW PP (Baraka)</t>
  </si>
  <si>
    <t>8x6.89</t>
  </si>
  <si>
    <t>Shikalbaha Peaking GT 150MW</t>
  </si>
  <si>
    <t>1 x 150</t>
  </si>
  <si>
    <t>1 x 150+1 x 75</t>
  </si>
  <si>
    <t>Anwara 300 MW PP (United)</t>
  </si>
  <si>
    <t>Juldah 100 MW Unit-1 (Acorn)</t>
  </si>
  <si>
    <t>Juldah 100 MW PP Unit-3 (Acorn)</t>
  </si>
  <si>
    <t>Dohazari -Kalaish 100 MW Peaking</t>
  </si>
  <si>
    <t>6x17.0</t>
  </si>
  <si>
    <t>Hathazari 100 MW peaking PP</t>
  </si>
  <si>
    <t>11x8.9</t>
  </si>
  <si>
    <t>Barabkunda  22 MW PP (Regent)</t>
  </si>
  <si>
    <t>Malancha, Ctg.EPZ (United)</t>
  </si>
  <si>
    <t>5x8.73+3x9.34</t>
  </si>
  <si>
    <t>Chattogram 108 MW PP (ECPV)</t>
  </si>
  <si>
    <t>16x7.00</t>
  </si>
  <si>
    <t>Ashuganj TPP Unit- 3 (150MW)</t>
  </si>
  <si>
    <t>Ashuganj TPP Unit- 5 (150MW)</t>
  </si>
  <si>
    <t xml:space="preserve">Ashuganj 50 MW PP </t>
  </si>
  <si>
    <t>14x3.968</t>
  </si>
  <si>
    <t xml:space="preserve">Ashuganj 225 MW  CCPP </t>
  </si>
  <si>
    <t>1×142+1×75</t>
  </si>
  <si>
    <t>Ashuganj 450 MW CCPP(South)</t>
  </si>
  <si>
    <t>Ashuganj 450 MW CCPP(North)</t>
  </si>
  <si>
    <t>1x361</t>
  </si>
  <si>
    <t>1x360</t>
  </si>
  <si>
    <t>Ashuganj TPP Unit- 4 (150MW)</t>
  </si>
  <si>
    <t xml:space="preserve">Ashuganj 55 MW PP  (Precision) </t>
  </si>
  <si>
    <t>15*4</t>
  </si>
  <si>
    <t>Ashuganj 53MW PP (United)</t>
  </si>
  <si>
    <t>14x4.00</t>
  </si>
  <si>
    <t>Ashuganj 150MW PP (Midland)</t>
  </si>
  <si>
    <t>23x7.015</t>
  </si>
  <si>
    <t>Ashuganj 51 MW PP (Midland)</t>
  </si>
  <si>
    <t>6x9.34</t>
  </si>
  <si>
    <t>Titas 50 MW Peaking PP</t>
  </si>
  <si>
    <t>6x8.92</t>
  </si>
  <si>
    <t>Chandpur 150 MW CCPP</t>
  </si>
  <si>
    <t>1X106+1x57</t>
  </si>
  <si>
    <t>Chandpur 200MW (Desh energy)</t>
  </si>
  <si>
    <t>12x18.415</t>
  </si>
  <si>
    <t>Feni  22MW PP (Doreen) (SIPP, PDB)</t>
  </si>
  <si>
    <t>Jangalia 52 MW PP (Lakdanavi)</t>
  </si>
  <si>
    <t>Jangalia 33MW PP (Summit) (SIPP, PDB)</t>
  </si>
  <si>
    <t>4x8.73</t>
  </si>
  <si>
    <t>Daudkandi 200 MW PP (B.Trac)</t>
  </si>
  <si>
    <t>99x1.4+40x1.515+15x1.05</t>
  </si>
  <si>
    <t>4x35+1x70</t>
  </si>
  <si>
    <t>Tangail  22 MW PP (Doreen) (SIPP, PDB)</t>
  </si>
  <si>
    <t>Bosila 108MW PP (CLC)</t>
  </si>
  <si>
    <t>Jamalpur 115 MW PP (United)</t>
  </si>
  <si>
    <t>12x9.87</t>
  </si>
  <si>
    <t>Mymensingh 200 MW PP (United)</t>
  </si>
  <si>
    <t>21x9.780</t>
  </si>
  <si>
    <t>Sarishabari 3 MW Solar Plant</t>
  </si>
  <si>
    <t>Fenchugonj CCPP Phase-1 (97MW)</t>
  </si>
  <si>
    <t>Fenchugonj CCPP Phase-2 (104MW)</t>
  </si>
  <si>
    <t>2x32+1x33</t>
  </si>
  <si>
    <t>2x35+1x35</t>
  </si>
  <si>
    <t>19x2.90</t>
  </si>
  <si>
    <t>12x3.3+5x2.0</t>
  </si>
  <si>
    <t>1x109+1x54</t>
  </si>
  <si>
    <t>2x35</t>
  </si>
  <si>
    <t>Shajibazar 330 MW CCPP</t>
  </si>
  <si>
    <t>2x110+2x110</t>
  </si>
  <si>
    <t>32x2.90</t>
  </si>
  <si>
    <t>Shahjibazar  50MW PP (Energyprima)</t>
  </si>
  <si>
    <t>27x2.0</t>
  </si>
  <si>
    <t>Sylhet 150 MW CCPP</t>
  </si>
  <si>
    <t>1x142</t>
  </si>
  <si>
    <t>Sylhet  20 MW GTPP</t>
  </si>
  <si>
    <t>1 x 20</t>
  </si>
  <si>
    <t>Sylhet 50MW PP (Energyprima, Kumargao)</t>
  </si>
  <si>
    <t>Sylhet 10MW PP (Desh, Kumargao)</t>
  </si>
  <si>
    <t>6x1.95</t>
  </si>
  <si>
    <t>Shahjahanulla 25 MW PP (CIPP, REB)</t>
  </si>
  <si>
    <t>3x9.34</t>
  </si>
  <si>
    <t>Bibiana-II 341 MW CCPP (Summit)</t>
  </si>
  <si>
    <t>1x222+1x119</t>
  </si>
  <si>
    <t>Bibiyana-III 400 MW CCPP</t>
  </si>
  <si>
    <t>1x285</t>
  </si>
  <si>
    <t xml:space="preserve">Shikalbaha 225 MW CCPP PS (Shamirpur)                                            </t>
  </si>
  <si>
    <t>3 x 20</t>
  </si>
  <si>
    <t>Bheramara 360 MW  CCPP, NWPGCL</t>
  </si>
  <si>
    <t>1 x 278+1 x 132=410</t>
  </si>
  <si>
    <t>Faridpur 50 MW Peaking PP</t>
  </si>
  <si>
    <t>8x6.98</t>
  </si>
  <si>
    <t>Gopalganj 100 MW Peaking PP</t>
  </si>
  <si>
    <t>16x6.98</t>
  </si>
  <si>
    <t>Khulna  225 MW CCPP, NWPGCL</t>
  </si>
  <si>
    <t>1 x 150+1x75</t>
  </si>
  <si>
    <t>Khulna 115 PP MW (KPCL-2)</t>
  </si>
  <si>
    <t>7x17</t>
  </si>
  <si>
    <t>Noapara 100 MW PP (Bangla Trac)</t>
  </si>
  <si>
    <t>70x1.4+7x1.515</t>
  </si>
  <si>
    <t>Noapara 40 MW PP (Khanjahan Ali)</t>
  </si>
  <si>
    <t>5x8.5</t>
  </si>
  <si>
    <t>Rupsha 105 MW PP (Orion rupsha)</t>
  </si>
  <si>
    <t>6x18.445</t>
  </si>
  <si>
    <t>6x18.415=105</t>
  </si>
  <si>
    <t>Barisal GT PP Unit-1&amp; 2 (2x20)</t>
  </si>
  <si>
    <t>2x20</t>
  </si>
  <si>
    <t>Barisal 110 MW PP (Summit )</t>
  </si>
  <si>
    <t>Bhola  33 MW PP (Venture)</t>
  </si>
  <si>
    <t>1x34.50</t>
  </si>
  <si>
    <t>Bhola 225 MW  CCPP</t>
  </si>
  <si>
    <t>2x63+1x68</t>
  </si>
  <si>
    <t>Bhola 95 MW PP (Aggreko)</t>
  </si>
  <si>
    <t>1.1x96</t>
  </si>
  <si>
    <t>Baghabari 71 MW GTPP</t>
  </si>
  <si>
    <t>1 x 71</t>
  </si>
  <si>
    <t>Baghabari  100 MW GTPP</t>
  </si>
  <si>
    <t>1 x 100</t>
  </si>
  <si>
    <t>Baghabari  50 MW Peaking PP</t>
  </si>
  <si>
    <t>6x8.9</t>
  </si>
  <si>
    <t>Baghabari 200 MW PP (Paramount)</t>
  </si>
  <si>
    <t>135x1.6</t>
  </si>
  <si>
    <t>Bera 70 MW Peaking PP</t>
  </si>
  <si>
    <t>9x8.29</t>
  </si>
  <si>
    <t>Amnura 50 MW PP(Sinha)</t>
  </si>
  <si>
    <t>7x7.79</t>
  </si>
  <si>
    <t>Chapainawabganj 100 MW Peaking PP</t>
  </si>
  <si>
    <t>Katakhali 50 MW Peaking PP</t>
  </si>
  <si>
    <t xml:space="preserve">6x8.7 </t>
  </si>
  <si>
    <t>Katakhali 50 MW PP (Northern)</t>
  </si>
  <si>
    <t>Santahar  50 MW Peaking PP</t>
  </si>
  <si>
    <t>Sirajgonj 225MW CCPP Unit-1 (NWPGCL)</t>
  </si>
  <si>
    <t>1x150+1x75</t>
  </si>
  <si>
    <t>Sirajgonj 225MW CCPP Unit-2 (NWPGCL)</t>
  </si>
  <si>
    <t>Sirajgonj 225MW CCPP Unit-3 (NWPGCL)</t>
  </si>
  <si>
    <t>1x141+1x79</t>
  </si>
  <si>
    <t>Sirajgonj 400 MW CCPP Unit-4 (Sembcorp)</t>
  </si>
  <si>
    <t>1x282+1x132</t>
  </si>
  <si>
    <t>Bogra 22 MW PP (GBB)</t>
  </si>
  <si>
    <t>6x4.0</t>
  </si>
  <si>
    <t>5x3.3+5x2.0</t>
  </si>
  <si>
    <t xml:space="preserve">Natore 52 MW PP (Rajlanka) </t>
  </si>
  <si>
    <t>6x18.55</t>
  </si>
  <si>
    <t xml:space="preserve">Barapukuria TPP Unit-1 </t>
  </si>
  <si>
    <t>Barapukuria TPP  Unit-2</t>
  </si>
  <si>
    <t>Barapukuria 275 MW TPP Unit-3</t>
  </si>
  <si>
    <t>1 x 274</t>
  </si>
  <si>
    <t>1 x 125</t>
  </si>
  <si>
    <t>Rangpur 20 MW  GTPP</t>
  </si>
  <si>
    <t xml:space="preserve">Rangpur 113 MW PP (Confidence) </t>
  </si>
  <si>
    <t>on test</t>
  </si>
  <si>
    <t>Saidpur 20 MW GTPP</t>
  </si>
  <si>
    <t>1 x 8</t>
  </si>
  <si>
    <t>Brahmanbaria 85 MW PP (Aggreko)</t>
  </si>
  <si>
    <t>Sikalbaha 51 MW PP(Energis)</t>
  </si>
  <si>
    <t>Contract expired</t>
  </si>
  <si>
    <t>2 x 55</t>
  </si>
  <si>
    <t>1x 254+1x 126</t>
  </si>
  <si>
    <t>2 x 32</t>
  </si>
  <si>
    <t>1 x 105</t>
  </si>
  <si>
    <t xml:space="preserve">Ghorasal TPP Unit-1  (55MW)     </t>
  </si>
  <si>
    <t xml:space="preserve">Ghorasal TPP Unit-2 (55MW)     </t>
  </si>
  <si>
    <t>Net Generation of Haripur SBU,100 MW Power Station</t>
  </si>
  <si>
    <t xml:space="preserve">Pagla 50MW DPA  Power Generation Int.Ltd.                      </t>
  </si>
  <si>
    <t>Meghnaghat CCPP(Summit) (335MW)</t>
  </si>
  <si>
    <t>Gagnagar 102 MW PP (Digital Power )</t>
  </si>
  <si>
    <t>Kutubdia Disel Power Station, Imp</t>
  </si>
  <si>
    <t>Sikalbaha 105 MW PP(Baraka Sikalbaha)</t>
  </si>
  <si>
    <t xml:space="preserve">Jodiac Power (Ctg) 54.36MW </t>
  </si>
  <si>
    <t>Karnaphuli Power Lid. 110 MW</t>
  </si>
  <si>
    <t>Shahjibazar 86MW PP (Youth Gr)</t>
  </si>
  <si>
    <t>Kushiara 163 MW CCPP (KPCL)</t>
  </si>
  <si>
    <t>Bogra 20 MW PP (Energyprima)</t>
  </si>
  <si>
    <t xml:space="preserve">SNWPGC (413 MW) (EXP) Unit-4   </t>
  </si>
  <si>
    <t>SNWPGC (413 MW) (IMP)  Unit-4</t>
  </si>
  <si>
    <t>SNWPGCL Net Generation Unit-4</t>
  </si>
  <si>
    <t>Majipara, Tatulia 8 MW Solar PP (Sympa)</t>
  </si>
  <si>
    <t xml:space="preserve">Bheramara RPP (Quantum) 110MW                                      </t>
  </si>
  <si>
    <t>Modhumati 105 MW PP, NWPGCL</t>
  </si>
  <si>
    <t>7 x 17.076=120</t>
  </si>
  <si>
    <t>Summit ,102MW,Madangonj, RPP, Exp</t>
  </si>
  <si>
    <t>Summit ,102MW,Madangonj, RPP, Imp</t>
  </si>
  <si>
    <t>RPCL Gazipur 105 MW HFO Power Plant, Exp</t>
  </si>
  <si>
    <t>RPCL Gazipur 105 MW HFO Power Plant, Imp</t>
  </si>
  <si>
    <t>Net Generation of RPCL 105 MW RPP</t>
  </si>
  <si>
    <t>United Power Co. Ltd. 195 MW (Ashuganj)</t>
  </si>
  <si>
    <t>NWPGCL,225MW,Sirajganj,Exp</t>
  </si>
  <si>
    <t>Net Generation RPCL 210MW , Mymensingh</t>
  </si>
  <si>
    <t>Net Generation (KPCL-2) IPP-115MW</t>
  </si>
  <si>
    <t>Khulna 225 MW CC (NWPGCL), GT Exp</t>
  </si>
  <si>
    <t>Khulna 225 MW CC (NWPGCL), ST Exp</t>
  </si>
  <si>
    <t>Khulna 225 MW CC (NWPGCL), GT Imp</t>
  </si>
  <si>
    <t>Khulna 225 MW CC (NWPGCL), ST Imp</t>
  </si>
  <si>
    <t>Net Generation 225 MW CC (NWPGCL), Khulna.</t>
  </si>
  <si>
    <t>Shahjibazar, EPL, 50MW, Exp</t>
  </si>
  <si>
    <t>Shahjibazar, EPL, 50MW, Imp</t>
  </si>
  <si>
    <t>O2814316</t>
  </si>
  <si>
    <t>Kodda 149 MW PP Unit-1 (Summit-ACE Alliance PPL)</t>
  </si>
  <si>
    <t xml:space="preserve"> 8x18.415+1x8.97</t>
  </si>
  <si>
    <t>Sub-total(Rental, SIPP) Oil  HSD</t>
  </si>
  <si>
    <t>Net Generation Shikalbaha  Burge</t>
  </si>
  <si>
    <t>Net Generation of Chandpur 200MW</t>
  </si>
  <si>
    <t>Net Generation Of NWPGCL 360MW GTG</t>
  </si>
  <si>
    <t>vii)</t>
  </si>
  <si>
    <t>Shalla 400 KW Solar PS</t>
  </si>
  <si>
    <t>Total  Generation (BPDB+IPP+RPP+IMP)</t>
  </si>
  <si>
    <t xml:space="preserve">Fuel Type </t>
  </si>
  <si>
    <t>Total Energy Received To National Grid From Public-Private Generation and From Cross Border Interconnection :</t>
  </si>
  <si>
    <t>Total Generation</t>
  </si>
  <si>
    <t>Remark</t>
  </si>
  <si>
    <t>Total Energy Received To National Grid From Public-Private Generation and From Cross Border Interconnection:</t>
  </si>
  <si>
    <t>50MW(PDB) Baghabari, Exp (New)</t>
  </si>
  <si>
    <t>50MW(PDB) Baghabari, Imp (New)</t>
  </si>
  <si>
    <t>NWPGCL,225MW,Sirajganj,Imp,Unit-2 imp</t>
  </si>
  <si>
    <t>NWPGCL,225MW,Sirajganj,Exp,Unit-2 Exp</t>
  </si>
  <si>
    <t>NWPGC (225 MW) (EXP) Unit-1 Exp</t>
  </si>
  <si>
    <t>Net Generation 225MW,NWPGCL,Unit-1</t>
  </si>
  <si>
    <t>Net Generation 225MW,NWPGCL,Unit-2</t>
  </si>
  <si>
    <t>NWPGC (225 MW) (IMP)  Unit-1 Imp</t>
  </si>
  <si>
    <t>Ashugang P/Stn 53MW Gas Engine, Exp(From 17/06/2013)</t>
  </si>
  <si>
    <t>Ashugang P/Stn 53MW Gas Engine, Imp(From 17/06/2013)</t>
  </si>
  <si>
    <t>APSCL 225 MW CC,ashugong,Exp GT</t>
  </si>
  <si>
    <t>APSCL 225 MW CC,ashugong,Imp GT</t>
  </si>
  <si>
    <t>Lakdhanvi 52.5MW Bangla Power Lt., Del.</t>
  </si>
  <si>
    <t>Lakdhanvi 52.5MW Bangla Power Lt., Rec.</t>
  </si>
  <si>
    <t>3TR 3(6BA)</t>
  </si>
  <si>
    <t>Net Generation of IEL Orion RPP</t>
  </si>
  <si>
    <t>Orion IEL  100 MW RPP, Exp</t>
  </si>
  <si>
    <t>Orion IEL  100 MW RPP, Imp</t>
  </si>
  <si>
    <t>LGZ 37919666</t>
  </si>
  <si>
    <t>Haripur GTPP 100MW</t>
  </si>
  <si>
    <t>Shiddirganj , 335 MW CCPP-2 GT</t>
  </si>
  <si>
    <t>Shiddirganj , 335 MW CCPP-2 ST</t>
  </si>
  <si>
    <t>WP007667</t>
  </si>
  <si>
    <t>Feni Lanka Power 114MW PP,Exp</t>
  </si>
  <si>
    <t>Feni Lanka Power 114MW PP,Imp</t>
  </si>
  <si>
    <t>Net Generation Feni Lanka Power Ltd.</t>
  </si>
  <si>
    <t>Feni Lanka Power 114MW PP</t>
  </si>
  <si>
    <t>Shahjibazar 330 MW CCP ST-2 Exp</t>
  </si>
  <si>
    <t>Energy Auditing Unit</t>
  </si>
  <si>
    <t>SL No</t>
  </si>
  <si>
    <t>Generation  (With Cross Border)</t>
  </si>
  <si>
    <t>Public + Privet</t>
  </si>
  <si>
    <t>Cross Border</t>
  </si>
  <si>
    <t>Total Generation (With Cross Border)</t>
  </si>
  <si>
    <t>Generation (Without Cross Border)</t>
  </si>
  <si>
    <t>Public Com. Ltd</t>
  </si>
  <si>
    <t>IPP</t>
  </si>
  <si>
    <t>Total Generation(Without Cross Border)</t>
  </si>
  <si>
    <t>Wheeling Unit</t>
  </si>
  <si>
    <t>Non-Wheeling Unit</t>
  </si>
  <si>
    <t>DPDC</t>
  </si>
  <si>
    <t>DESCO</t>
  </si>
  <si>
    <t>NESCO</t>
  </si>
  <si>
    <t>WZPDCL</t>
  </si>
  <si>
    <t>PBS</t>
  </si>
  <si>
    <t>Total  Sold Unit</t>
  </si>
  <si>
    <t xml:space="preserve">% Transmission Loss </t>
  </si>
  <si>
    <t>BPDB 132Kv Consumer</t>
  </si>
  <si>
    <t>BPDB 230Kv Consumer</t>
  </si>
  <si>
    <t>BPDB 33Kv Consumer</t>
  </si>
  <si>
    <t>Total BPBD</t>
  </si>
  <si>
    <t>Confidence Power Bogra(113 MW) (EXP) Unit-1 (23/08/2019 to 16/11/2019) Before COD</t>
  </si>
  <si>
    <t>Confidence Power Bogra(113 MW) (IMP) Unit-1 (23/08/2019 to 16/11/2019) Before COD</t>
  </si>
  <si>
    <t>Confidence Power Bogra(113 MW) (EXP) Unit-1  (17/11/2019 to 30/11/2019)</t>
  </si>
  <si>
    <t>Confidence Power Bogra(113 MW) (IMP) Unit-1 (17/11/2019 to 30/11/2019)</t>
  </si>
  <si>
    <t>Confidence Power Bogra(113 MW) (EXP) Unit-1 (01/12/2019 to 31/12/2019)</t>
  </si>
  <si>
    <t>Confidence Power Bogra(113 MW) (IMP) Unit-1 (01/12/2019 to 31/12/2019)</t>
  </si>
  <si>
    <t>Confidence Power Bogra  Net Generation Unit-1</t>
  </si>
  <si>
    <t>Auxiliari</t>
  </si>
  <si>
    <t>Bogra 113 MW PP (Confidence) Unit-1</t>
  </si>
  <si>
    <t>210 Billing</t>
  </si>
  <si>
    <t>02868973</t>
  </si>
  <si>
    <t>HF Power limited,113MW,Exp</t>
  </si>
  <si>
    <t>HF Power limited,113MW,Imp</t>
  </si>
  <si>
    <t>Net Generation hf Power Ltd.</t>
  </si>
  <si>
    <t>Power Plants Of BPDB</t>
  </si>
  <si>
    <t>Ashuganj Powe Station Company Ltd (APSCL)</t>
  </si>
  <si>
    <t>Pubic Others ( EGCB, NWPGCL, RCL and BPDB-RPCL)</t>
  </si>
  <si>
    <t xml:space="preserve"> Private Power Sector ( IPP )</t>
  </si>
  <si>
    <t xml:space="preserve"> Private Power Sector ( Rental+SIPP )</t>
  </si>
  <si>
    <t>Utility Sold Unit (BPDB)</t>
  </si>
  <si>
    <t>Utility Sold Unit (Total)</t>
  </si>
  <si>
    <t>1)</t>
  </si>
  <si>
    <t>2)</t>
  </si>
  <si>
    <t>3)</t>
  </si>
  <si>
    <t>4)</t>
  </si>
  <si>
    <t>5)</t>
  </si>
  <si>
    <t>6)</t>
  </si>
  <si>
    <t>7)</t>
  </si>
  <si>
    <t>8)</t>
  </si>
  <si>
    <t xml:space="preserve">Payra 1320 MW G-1 Exp           </t>
  </si>
  <si>
    <t>M-WP003772</t>
  </si>
  <si>
    <t xml:space="preserve">Payra 1320 MW SST Exp          </t>
  </si>
  <si>
    <t>M-WP003762</t>
  </si>
  <si>
    <t xml:space="preserve">Payra 1320 MW G-1 Imp           </t>
  </si>
  <si>
    <t xml:space="preserve">Payra 1320 MW SST Imp          </t>
  </si>
  <si>
    <t xml:space="preserve">Aux from Patuakhali 132 KV Ckt Exp    </t>
  </si>
  <si>
    <t>M-38992514</t>
  </si>
  <si>
    <t xml:space="preserve">Aux from Patuakhali 132 KV Ckt Imp    </t>
  </si>
  <si>
    <t xml:space="preserve">Gross Generation  Payra 1320 MW  Th.PP </t>
  </si>
  <si>
    <t xml:space="preserve">Net Generation  Payra 1320 MW  Th.PP </t>
  </si>
  <si>
    <t>Bogra 113 MW PP (Confidence) Unit-2</t>
  </si>
  <si>
    <t xml:space="preserve">Payra 1320 MW G-1            </t>
  </si>
  <si>
    <t xml:space="preserve">Payra 1320 MW SST           </t>
  </si>
  <si>
    <t xml:space="preserve">Aux from Patuakhali 132 KV Ckt    </t>
  </si>
  <si>
    <t>PDB Steam Turbine, 75MW, Export</t>
  </si>
  <si>
    <t>PDB Steam Turbine, 75MW, Imp</t>
  </si>
  <si>
    <t>Gazipur PBS Import-1</t>
  </si>
  <si>
    <t>Gazipur PBS Import-2</t>
  </si>
  <si>
    <t>Voltage Level KV</t>
  </si>
  <si>
    <t>Bibiyana South-230kv Startup Imp</t>
  </si>
  <si>
    <t>Julda 100 MW U-2 P/S Exp</t>
  </si>
  <si>
    <t>Julda 100 MW U-2 P/S Imp</t>
  </si>
  <si>
    <t>Juldah 100 MW PP Unit-2 (Acorn)</t>
  </si>
  <si>
    <t xml:space="preserve">Unit-1  Auxliary </t>
  </si>
  <si>
    <t xml:space="preserve">Unit-2  Auxliary </t>
  </si>
  <si>
    <t xml:space="preserve">Unit-3  Auxliary </t>
  </si>
  <si>
    <t xml:space="preserve">Unit-4  Auxliary </t>
  </si>
  <si>
    <t xml:space="preserve">Unit-5 Auxliary </t>
  </si>
  <si>
    <t>LGZ 53523324</t>
  </si>
  <si>
    <t>Net Generation Of ACE</t>
  </si>
  <si>
    <t>Manikganj 162MW Power Generation</t>
  </si>
  <si>
    <t xml:space="preserve">Nutan Biddyut  220 MW GT-1 Exp    </t>
  </si>
  <si>
    <t>M-54615612</t>
  </si>
  <si>
    <t xml:space="preserve">Net Generation  NBBL 220 MW  CCPP </t>
  </si>
  <si>
    <t>Nutan Biddyut  220 MW</t>
  </si>
  <si>
    <t>"</t>
  </si>
  <si>
    <t>Orion power Sonargaon Limited, 104 MW HFO Based IPP, Sonargaon, Narayanganj</t>
  </si>
  <si>
    <t>LGZ 38992441</t>
  </si>
  <si>
    <t>Orion power Sonargaon Limited</t>
  </si>
  <si>
    <t>KHULNA EAUD TOTAL GENERATION</t>
  </si>
  <si>
    <t>JESSORE EAUD TOTAL GENERATION</t>
  </si>
  <si>
    <t>Ctg-3</t>
  </si>
  <si>
    <t>Ctg-1</t>
  </si>
  <si>
    <t xml:space="preserve">Payra 1320 MW G-2 Exp           </t>
  </si>
  <si>
    <t xml:space="preserve">Payra 1320 MW G-2 Imp           </t>
  </si>
  <si>
    <t xml:space="preserve">Payra 1320 MW G-2          </t>
  </si>
  <si>
    <t>Sirajgonj 2MW Wind Power Plant (EXP)</t>
  </si>
  <si>
    <t>Sirajgonj 2MW Wind Power Plant (Imp)</t>
  </si>
  <si>
    <t xml:space="preserve">Sirajgonj 2MW Wind Power Plant Net Generation </t>
  </si>
  <si>
    <t>Sirajgonj 2MW Wind Power Plant</t>
  </si>
  <si>
    <t>Total  IPP Solar+Wind</t>
  </si>
  <si>
    <t>Total  IPP,  ( Gas+Oil +Solar+Wind)</t>
  </si>
  <si>
    <t>AUX. PGCB USE</t>
  </si>
  <si>
    <t>38992610</t>
  </si>
  <si>
    <t>PDB Gas Turbine, 150MW, Imp</t>
  </si>
  <si>
    <t>Mymensingh 50 MW HDFC Solar  Exp</t>
  </si>
  <si>
    <t>Mymensingh 50 MW HDFC Solar  Imp</t>
  </si>
  <si>
    <t>Net Genenration of 50MW HDFC Solar Power Plant</t>
  </si>
  <si>
    <t>Anlima Energy Ltd. 116 MW Exp</t>
  </si>
  <si>
    <t>Anlima Energy Ltd. 116 MW Imp</t>
  </si>
  <si>
    <t>Net Generation of Anlima 116MW</t>
  </si>
  <si>
    <t xml:space="preserve">Anlima 116 MW </t>
  </si>
  <si>
    <t>22 MW TPPGCL/ Export</t>
  </si>
  <si>
    <t>22 MW TPPGCL/ Import</t>
  </si>
  <si>
    <t>Net Generation of 22MW TPPGCL</t>
  </si>
  <si>
    <t>22MW TPPGCL</t>
  </si>
  <si>
    <t>Khulna</t>
  </si>
  <si>
    <t>Jessore</t>
  </si>
  <si>
    <t>Diff</t>
  </si>
  <si>
    <t xml:space="preserve">Nutan Biddyut  220 MW GT-1 Imp    </t>
  </si>
  <si>
    <t xml:space="preserve">Nutan Biddyut  220 MW GT-2 Exp   </t>
  </si>
  <si>
    <t xml:space="preserve">Nutan Biddyut  220 MW GT-2 Imp </t>
  </si>
  <si>
    <t>M-54615614</t>
  </si>
  <si>
    <t xml:space="preserve">Nutan Biddyut  220 MW STG Exp   </t>
  </si>
  <si>
    <t xml:space="preserve">Nutan Biddyut  220 MW STG Imp    </t>
  </si>
  <si>
    <t>Shahjibazar 100 MW  GT-1, Exp</t>
  </si>
  <si>
    <t>Shahjibazar 100 MW  GT-1, Imp</t>
  </si>
  <si>
    <t xml:space="preserve">Net Generation of Shahjibazar 100 MW </t>
  </si>
  <si>
    <t>Shahjibazar 100 MW  GT-1</t>
  </si>
  <si>
    <t>Bibiyana South-Export</t>
  </si>
  <si>
    <t>Bibiyana South-Imp</t>
  </si>
  <si>
    <t xml:space="preserve"> Net Generation of  Bibiyana South 400MW CCPP</t>
  </si>
  <si>
    <t>Bibiyana South 400MW CCPP</t>
  </si>
  <si>
    <t>38992492</t>
  </si>
  <si>
    <t>Summit Bibiyana II,341 MW,GT,imp</t>
  </si>
  <si>
    <t>AKSPL CPP 90MW</t>
  </si>
  <si>
    <t>OP</t>
  </si>
  <si>
    <t>P</t>
  </si>
  <si>
    <t>AKSPL CIPP, Chottogram</t>
  </si>
  <si>
    <t>54.5 MW Bhairab Power Ltd./ Exp</t>
  </si>
  <si>
    <t>54.5 MW Bhairab Power Ltd./ Imp</t>
  </si>
  <si>
    <t xml:space="preserve">Net Generation of 54.5 MW Bhairab Power </t>
  </si>
  <si>
    <t xml:space="preserve">Bhairab Power 54.5 MW </t>
  </si>
  <si>
    <t>Net Generation of AKSPL CPP 90MW</t>
  </si>
  <si>
    <t>Cont.Expaired</t>
  </si>
  <si>
    <t>COM-1</t>
  </si>
  <si>
    <t>COM-2</t>
  </si>
  <si>
    <t>COM-4</t>
  </si>
  <si>
    <t>Sirajgonj 7.6MW Solar Power Plant (EXP)</t>
  </si>
  <si>
    <t>Sirajgonj 7.6MW Solar Power Plant (IMP)</t>
  </si>
  <si>
    <t>Sirajgonj 7.6MW Solar Power Plant Net</t>
  </si>
  <si>
    <t>08483261</t>
  </si>
  <si>
    <t>Sirajgonj 7.6MW Solar Power Plant (NWPGCL)</t>
  </si>
  <si>
    <t>Other Public Co. Solar Plants</t>
  </si>
  <si>
    <t>Total BPDB's +Public Generation (Gas+Oil+Hydro+Coal+Wind+Solar )</t>
  </si>
  <si>
    <t xml:space="preserve">UPPL Patuakhali Exp </t>
  </si>
  <si>
    <t>UPPL Patuakhali Imp</t>
  </si>
  <si>
    <t>United Payra PP Patuakhali Imp</t>
  </si>
  <si>
    <t>Digital accossites Exp New Meter</t>
  </si>
  <si>
    <t>HT 01150077</t>
  </si>
  <si>
    <t>Net Orion power Sonargaon Limited, 104 MW HFO Based IPP, Sonargaon, Narayanganj</t>
  </si>
  <si>
    <t>Manikganj 35MW Spectra Solar Park Ltd.</t>
  </si>
  <si>
    <t>Net Generation Manikganj 35 MW Spectra Solar Park Ltd</t>
  </si>
  <si>
    <t>Power Plant Name</t>
  </si>
  <si>
    <t>Net Genetation</t>
  </si>
  <si>
    <t>SL</t>
  </si>
  <si>
    <t xml:space="preserve">Siddirganj 335MW CCPP EGCB Ltd.         </t>
  </si>
  <si>
    <t>Ghorasal PP</t>
  </si>
  <si>
    <t>Cumilla</t>
  </si>
  <si>
    <t>Barisal</t>
  </si>
  <si>
    <t>\</t>
  </si>
  <si>
    <t>BR Powergen P/S Import</t>
  </si>
  <si>
    <t>BR Powergen P/S Export</t>
  </si>
  <si>
    <t>Net generation of BR Powergen</t>
  </si>
  <si>
    <t>BR Powergen</t>
  </si>
  <si>
    <t>Fenchuganj, 90MW PS,U-2,GT-4</t>
  </si>
  <si>
    <t xml:space="preserve">Fenchuganj,  PS, U-2, ST </t>
  </si>
  <si>
    <t>Energypac Thakuragon, Exp</t>
  </si>
  <si>
    <t>Energypac Thakuragon, Imp</t>
  </si>
  <si>
    <t>WP029283</t>
  </si>
  <si>
    <t>Energypac Thakurgaon</t>
  </si>
  <si>
    <t>Shahjibazar  PS Domestic Use</t>
  </si>
  <si>
    <t>Fenchuganj,  PS, U-1, ST  / Imp</t>
  </si>
  <si>
    <t>**X-Former, AV (33kv Side)</t>
  </si>
  <si>
    <t>APSCL 450 MW CC,ashugong,Aux.Tr,Exp</t>
  </si>
  <si>
    <t>bharampur line -3,imp(A+)</t>
  </si>
  <si>
    <t>bharampur line -3,Exp(A-)</t>
  </si>
  <si>
    <t>NVVN 300MW Bharamara Phase- iii</t>
  </si>
  <si>
    <t>KEPZ 9.8 MW Solar</t>
  </si>
  <si>
    <t>RPCL Mymensingh Ckt-1 / Exp</t>
  </si>
  <si>
    <t>RPCL Mymensingh Ckt-2 / Exp</t>
  </si>
  <si>
    <t>RPCL Tangail Ckt-1 / Exp</t>
  </si>
  <si>
    <t>RPCL Tangail Ckt-2 / Exp</t>
  </si>
  <si>
    <t>RPCL Mymensingh Ckt-1 / Imp</t>
  </si>
  <si>
    <t>RPCL Tangail Ckt-1 / Imp</t>
  </si>
  <si>
    <t>RPCL Tangail Ckt-2 / Imp</t>
  </si>
  <si>
    <t>Standby 132/6.6kv  Auxi</t>
  </si>
  <si>
    <t>LGZ58450830</t>
  </si>
  <si>
    <t>LGZ58450832</t>
  </si>
  <si>
    <t>United Anwara 300 MW CKT-2 -Export</t>
  </si>
  <si>
    <t>United Anwara 300 MW CKT-2  -Import</t>
  </si>
  <si>
    <t>Net Generation of  United Anwara 300 MW PS Ckt-2</t>
  </si>
  <si>
    <t>Anwara 300 MW PP (United) Circuit-2</t>
  </si>
  <si>
    <t>Kanchan Purbachal Power Generation Ltd. 55MW HFO.</t>
  </si>
  <si>
    <t>Kanchan Purbachol 55MW Power Generation</t>
  </si>
  <si>
    <t>bharampur line -2,Exp(A+)</t>
  </si>
  <si>
    <t>bharampur line -2,Exp(A-)</t>
  </si>
  <si>
    <t>NVVN 300MW Bharamara Phase- iv</t>
  </si>
  <si>
    <t>50MW HDFC Solar Power Plant</t>
  </si>
  <si>
    <t>RPCL 52 MW-Gazipur, Exp New Meter</t>
  </si>
  <si>
    <t xml:space="preserve"> </t>
  </si>
  <si>
    <t>42627861</t>
  </si>
  <si>
    <t>4262863</t>
  </si>
  <si>
    <t>42627855</t>
  </si>
  <si>
    <t>42627857</t>
  </si>
  <si>
    <t>RPCL Mymensingh Ckt-2 / Imp</t>
  </si>
  <si>
    <t>59104506</t>
  </si>
  <si>
    <t>Net Generation 100 MW (ERBL Solar), Mongla.</t>
  </si>
  <si>
    <t>Net Generation 1320 MW (Rampal Coal), Mongla.</t>
  </si>
  <si>
    <t>ERBL Solar 100 MW Mongla</t>
  </si>
  <si>
    <t>Rampal Coal Power Plant 1320 MW</t>
  </si>
  <si>
    <t>Hatia Peaking Exp-1</t>
  </si>
  <si>
    <t>Hatia Peaking Exp-2</t>
  </si>
  <si>
    <t>ERBL Solar 100 MW Mongla, Exp</t>
  </si>
  <si>
    <t>ERBL Solar 100 MW Mongla, Imp</t>
  </si>
  <si>
    <t>Total 132&amp;230  KV Retail Import</t>
  </si>
  <si>
    <t>Chadpur Power Gen. Ltd 115MW Exp</t>
  </si>
  <si>
    <t>Chadpur Power Gen. Ltd 115MW Imp</t>
  </si>
  <si>
    <t xml:space="preserve">Net Generation of Chadpur Power Gen. Ltd 115MW </t>
  </si>
  <si>
    <t>Chandpur Power Generation Ltd. 115MW</t>
  </si>
  <si>
    <t>Shahjibazar 330 MW CCP GT-1 Exp New</t>
  </si>
  <si>
    <t>Shahjibazar 330 MW CCP GT-2 Exp New</t>
  </si>
  <si>
    <t>Shahjibazar 330 MW CCP GT-1 Imp New</t>
  </si>
  <si>
    <t>Shahjibazar 330 MW CCP GT-2 Imp New</t>
  </si>
  <si>
    <t>Shahjibazar 330 MW CCP ST-1 Exp New</t>
  </si>
  <si>
    <t>CTG-1</t>
  </si>
  <si>
    <t>CTG-3</t>
  </si>
  <si>
    <t>Net Generation of Power Pac Keraniganj RPP</t>
  </si>
  <si>
    <t>EAUD Dhaka Net Generation</t>
  </si>
  <si>
    <t>Ashuganj 728MW</t>
  </si>
  <si>
    <t>HF 113 MW Power Limited</t>
  </si>
  <si>
    <t>EAUD Cumilla Net Generation</t>
  </si>
  <si>
    <t>Rauzan 2x210MW</t>
  </si>
  <si>
    <t>EAUD CTG-3 Net Generation</t>
  </si>
  <si>
    <t>EAUD CTG-1 Net Generation</t>
  </si>
  <si>
    <t>EAUD Sylhet Net Generation</t>
  </si>
  <si>
    <t>Shahjibazar GTPP Unit- 8 &amp; 9 (60MW)</t>
  </si>
  <si>
    <t xml:space="preserve">Fenchugonj CCPP </t>
  </si>
  <si>
    <t>Fenchugonj 51 MW PP  (Baraka)</t>
  </si>
  <si>
    <t>Fenchuganj  50 MW (Energyprima)</t>
  </si>
  <si>
    <t>RPCL 210MW CCPP (Mymensing)</t>
  </si>
  <si>
    <t>Jamalpur 100 MW PP (Powerpac)</t>
  </si>
  <si>
    <t>EAUD Mymensingh Net Generation</t>
  </si>
  <si>
    <t>Bogura</t>
  </si>
  <si>
    <t>EAUD Bogura Net Generation</t>
  </si>
  <si>
    <t>EAUD Rajshahi Net Generation</t>
  </si>
  <si>
    <t>EAUD Rangpur Net Generation</t>
  </si>
  <si>
    <t>EAUD Khulna Net Generation</t>
  </si>
  <si>
    <t>EAUD Jessore Net Generation</t>
  </si>
  <si>
    <t>EAUD Barisal Net Generation</t>
  </si>
  <si>
    <t>Bheramara GT PP Unit-1,2 &amp; 3</t>
  </si>
  <si>
    <t>NVVN HVDC Bheramara</t>
  </si>
  <si>
    <t>Net Generation of Sikhalbaha 225 MW Power Station</t>
  </si>
  <si>
    <t>Ashuganj 450 MW CCPP(East)</t>
  </si>
  <si>
    <t>% Ratio</t>
  </si>
  <si>
    <t>UJPL 115 MW / Exp</t>
  </si>
  <si>
    <t>UJPL 115 MW / Imp</t>
  </si>
  <si>
    <t>Payra 1320MW</t>
  </si>
  <si>
    <t>Shahjibazar 330 MW CCP STG Imp</t>
  </si>
  <si>
    <t>SL-LGZ59934466</t>
  </si>
  <si>
    <t>SL-LGZ59934467</t>
  </si>
  <si>
    <t>Horipur, 412 MW CCPP,EGCB Ltd,Exp NEW Meter</t>
  </si>
  <si>
    <t>APSCL 400MW CCPP (East),  Exp</t>
  </si>
  <si>
    <t>APSCL 400MW CCPP (East), Imp.</t>
  </si>
  <si>
    <t>APSCL 400MW CCPP (East),  Exp GAT</t>
  </si>
  <si>
    <t>APSCL 400MW CCPP (East), Imp. GAT</t>
  </si>
  <si>
    <t>Net Generation of  APSCL 450 MW (East)</t>
  </si>
  <si>
    <t>330 MW Khulna Plant- exp</t>
  </si>
  <si>
    <t>330 MW Khulna Plant-imp</t>
  </si>
  <si>
    <t>Net Generation 330 MW (Khulna Dual Fuel), Mongla.</t>
  </si>
  <si>
    <t>330 MW (Khulna Dual Fuel), Mongla.</t>
  </si>
  <si>
    <t xml:space="preserve">Khulna 330MW CCPP </t>
  </si>
  <si>
    <t>Gas/HFO</t>
  </si>
  <si>
    <t>Contact Expired</t>
  </si>
  <si>
    <t>Intraco Solar Power Ltd., Exp</t>
  </si>
  <si>
    <t>Intraco Solar Power Ltd., Imp</t>
  </si>
  <si>
    <t>Intraco Solar Power Ltd 30MW Lalmonirhat</t>
  </si>
  <si>
    <t>O &amp; M JAMALPUR</t>
  </si>
  <si>
    <t>O &amp; M MYMENSINGH-1</t>
  </si>
  <si>
    <t>O &amp; M MYMENSINGH-2</t>
  </si>
  <si>
    <t xml:space="preserve">Net Generation of 1496 MW Adani Power Plant </t>
  </si>
  <si>
    <t xml:space="preserve">Total IPP Coal/ Th.PP </t>
  </si>
  <si>
    <t>Adani Power Plant 1496 MW</t>
  </si>
  <si>
    <t>Total Payra 1320 MW Th.PP</t>
  </si>
  <si>
    <t>Ghorashal  Power Station,Unit-4(Re-Powering GT)Exp</t>
  </si>
  <si>
    <t>Ghorashal  Power Station,Unit-4(Re-Powering GT)Imp</t>
  </si>
  <si>
    <t>Auxiliary For Unit-4 (Re-Powring_GT) (Self+Grid)</t>
  </si>
  <si>
    <t>Auxiliary For Unit-7 (GT) (Self+Grid)</t>
  </si>
  <si>
    <t>Auxiliary For Unit-7 (ST) (Self+Grid)</t>
  </si>
  <si>
    <t>Auxiliary Energy Locally Billed (PGCB Control Room)</t>
  </si>
  <si>
    <t>Auxiliary Energy Locally Billed (Project+Others) (From self  at 0.415 kV Level)</t>
  </si>
  <si>
    <t>Auxiliary Energy Locally Billed (Project+Others) (From Grid  at 0.415 kV Level)</t>
  </si>
  <si>
    <t>viii)</t>
  </si>
  <si>
    <t>Localy from Self Aux. &amp;  Re-powering of # 3&amp;4 from grid auxiliary</t>
  </si>
  <si>
    <t>WP023592</t>
  </si>
  <si>
    <t>WP034922</t>
  </si>
  <si>
    <t>1496 MW Adani Power Plant U-1 Exp</t>
  </si>
  <si>
    <t>1496 MW Adani Power Plant U-1 Imp</t>
  </si>
  <si>
    <t>1496 MW Adani Power Plant U-2 Exp</t>
  </si>
  <si>
    <t>1496 MW Adani Power Plant U-2 Imp</t>
  </si>
  <si>
    <t>Adani Power Plant  (SMT)  Imp</t>
  </si>
  <si>
    <t>Adani Power Plant  (SMT)  Exp</t>
  </si>
  <si>
    <t>GENERATION</t>
  </si>
  <si>
    <t>Station Use Unit</t>
  </si>
  <si>
    <t>Gross Generation Unit</t>
  </si>
  <si>
    <t>Wheeling Charge (Approx) Taka</t>
  </si>
  <si>
    <t>Net Generation Unit</t>
  </si>
  <si>
    <t>Percentage of Station Use (Respect to Gross Gen.)</t>
  </si>
  <si>
    <t>Percentage of Station Use (Respect to Net Gen.)</t>
  </si>
  <si>
    <t>BPDB Gen.</t>
  </si>
  <si>
    <t>Percentage of BPDB Gen. Respect to Total Gen</t>
  </si>
  <si>
    <t xml:space="preserve">2023-01-01 </t>
  </si>
  <si>
    <t>Gross Generatrion</t>
  </si>
  <si>
    <t>Unit (kwh)</t>
  </si>
  <si>
    <t xml:space="preserve"> 1496 MW Adani PP</t>
  </si>
  <si>
    <t>Unit-1 (Check)</t>
  </si>
  <si>
    <t>Unit-2 (Check)</t>
  </si>
  <si>
    <t>Difference Between Main &amp; Back Up for Unit -1</t>
  </si>
  <si>
    <t>SMT (Main)</t>
  </si>
  <si>
    <t>25379.90</t>
  </si>
  <si>
    <t>26558.99</t>
  </si>
  <si>
    <t>SMT (Check)</t>
  </si>
  <si>
    <t>26550.13</t>
  </si>
  <si>
    <t>GSUT Unit-1 (Main)</t>
  </si>
  <si>
    <t>GSUT Unit-2 (Main)</t>
  </si>
  <si>
    <t>TSL - Import from Grid-Line-01</t>
  </si>
  <si>
    <t>TSL - Export to Grid-Line-01</t>
  </si>
  <si>
    <t>TSL - Import from Grid-Line-02</t>
  </si>
  <si>
    <t>TSL - Export to Grid-Line-02</t>
  </si>
  <si>
    <t>Net Generation TSL 200 MW IPP</t>
  </si>
  <si>
    <t>Teesta Solar Ltd 200MW</t>
  </si>
  <si>
    <t xml:space="preserve">N.B.-Due to faulty meters of Rangpur 20 MW GT &amp; Saidpur 20MW GT, calculated readings are given. </t>
  </si>
  <si>
    <t>Calculated</t>
  </si>
  <si>
    <t>NB: Sikhalbaha 150 MW P/S Meter has been changed from 5 Amps L&amp;G to 1 Amps L&amp;G Meter.</t>
  </si>
  <si>
    <t>WP034149</t>
  </si>
  <si>
    <t>**Meter replaced last reading of GT Imp 3.4108</t>
  </si>
  <si>
    <t>M-WP030438</t>
  </si>
  <si>
    <t xml:space="preserve">Net Generation  BEPCL 307 MW </t>
  </si>
  <si>
    <t>Barisal Electric 307MW Coal PP</t>
  </si>
  <si>
    <t>0882</t>
  </si>
  <si>
    <t>0084</t>
  </si>
  <si>
    <t>0080</t>
  </si>
  <si>
    <t>Ghorashal  Power Station,Unit-7(GT) Exp  230/0.11</t>
  </si>
  <si>
    <t>Ghorashal  Power Station,Unit-7(GT) Imp  230/0.11</t>
  </si>
  <si>
    <t>Ghorashal  Power Station,Unit-7(ST) Exp  230/0.11</t>
  </si>
  <si>
    <t>Ghorashal  Power Station,Unit-7(ST) Imp  230/0.11</t>
  </si>
  <si>
    <t>Main Meter</t>
  </si>
  <si>
    <t>Previous</t>
  </si>
  <si>
    <t>SS Power I Ltd 2*612 MW U-1 Exp</t>
  </si>
  <si>
    <t>SS Power I Ltd 2*612 MW U-1 Imp</t>
  </si>
  <si>
    <t>SS Power I Ltd 2*612 MW U-2 Exp</t>
  </si>
  <si>
    <t>SS Power I Ltd 2*612 MW U-2 Imp</t>
  </si>
  <si>
    <t>Net Generation of  SS Power I Ltd 2*612 MW U-1 PS</t>
  </si>
  <si>
    <t>Net Generation of  SS Power I Ltd 2*612 MW U-2 PS</t>
  </si>
  <si>
    <t>SS Power I Ltd 2*612 MW Unit-1</t>
  </si>
  <si>
    <t>SS Power I Ltd 2*612 MW Unit-2</t>
  </si>
  <si>
    <t>Total SS Power I Ltd 2*612MW Th. PP</t>
  </si>
  <si>
    <t>Generation</t>
  </si>
  <si>
    <t>Gazipur 105 MW PP (RPCL)</t>
  </si>
  <si>
    <t>Upzilla Feeder</t>
  </si>
  <si>
    <t>Nalsira Feeder</t>
  </si>
  <si>
    <t>Aska Bazar Feeder</t>
  </si>
  <si>
    <t>02840505</t>
  </si>
  <si>
    <t>Bibiyana-3,400 MW PS Domestic use</t>
  </si>
  <si>
    <t>Sorsenga Feeder</t>
  </si>
  <si>
    <t>Matarbari 2*600MW U-1 Exp</t>
  </si>
  <si>
    <t>Matarbari 2*600MW U-1 Imp</t>
  </si>
  <si>
    <t>Net generation of Matarbari 2*600MW U-1 PS</t>
  </si>
  <si>
    <t>WP031509</t>
  </si>
  <si>
    <t>Matarbari 2*600MW U-1 PS</t>
  </si>
  <si>
    <t>RPR00497</t>
  </si>
  <si>
    <t>Backup Meter</t>
  </si>
  <si>
    <t>331 MW Khulna Plant-imp</t>
  </si>
  <si>
    <t>Mymensingh PBS-2</t>
  </si>
  <si>
    <t>-</t>
  </si>
  <si>
    <t>230/132kV</t>
  </si>
  <si>
    <t>Total sale's</t>
  </si>
  <si>
    <t>Loss</t>
  </si>
  <si>
    <t>Sagoria Feeder</t>
  </si>
  <si>
    <t>33 KV BRB (Net Metering) Exp to Grid</t>
  </si>
  <si>
    <t>BRB Solar (Net Metering)</t>
  </si>
  <si>
    <t>Desh Energy Hatia 15 MW PP, Exp</t>
  </si>
  <si>
    <t>Desh Energy Hatia 15 MW PP, Imp</t>
  </si>
  <si>
    <t xml:space="preserve">Net Generation Desh Energy Hatia </t>
  </si>
  <si>
    <t>Desh Energy Hatia 15MW</t>
  </si>
  <si>
    <t>দ</t>
  </si>
  <si>
    <t>Cox's Bazar 60MW Wind L-1 Exp</t>
  </si>
  <si>
    <t>Cox's Bazar 60MW Wind L-1 Imp</t>
  </si>
  <si>
    <t>Net Generation of Cox's Bazar 60MW Wind Power Plant</t>
  </si>
  <si>
    <t>Matarbari 2*600MW U-2 Exp</t>
  </si>
  <si>
    <t>WP031515</t>
  </si>
  <si>
    <t>Matarbari 2*600MW U-2 Imp</t>
  </si>
  <si>
    <t>Net generation of Matarbari 2*600MW U-2 PS</t>
  </si>
  <si>
    <t>Matarbari 2*600MW U-2 PS</t>
  </si>
  <si>
    <t xml:space="preserve">US-DK Wind PP 60MW, Cox'sBazar </t>
  </si>
  <si>
    <t>M-54615617</t>
  </si>
  <si>
    <t>38992607</t>
  </si>
  <si>
    <t>Bibiyana -3 230kv Startup Imp (Backup)</t>
  </si>
  <si>
    <t>RPR00498</t>
  </si>
  <si>
    <t>BPDB Rate</t>
  </si>
  <si>
    <t>DESCO Import (132 &amp; 33 KV)</t>
  </si>
  <si>
    <t>Narayanganj PBS -1 Import (132 &amp; 33 KV)</t>
  </si>
  <si>
    <r>
      <t>Export to REB (</t>
    </r>
    <r>
      <rPr>
        <sz val="11"/>
        <color rgb="FFFF0000"/>
        <rFont val="Times New Roman"/>
        <family val="1"/>
      </rPr>
      <t>80</t>
    </r>
    <r>
      <rPr>
        <sz val="11"/>
        <rFont val="Times New Roman"/>
        <family val="1"/>
      </rPr>
      <t xml:space="preserve"> Nos PBSs) at 33KV Level</t>
    </r>
  </si>
  <si>
    <t>Rampal Coal Power Plant 1320 MW, 400 KV GT-1 Exp</t>
  </si>
  <si>
    <t>Rampal Coal Power Plant 1320 MW, 400 KV GT-2 Exp</t>
  </si>
  <si>
    <t>Rampal Coal Power Plant 1320 MW, 230 KV SUT Exp</t>
  </si>
  <si>
    <t>Rampal Coal Power Plant 1320 MW, 400 KV GT-1 Imp</t>
  </si>
  <si>
    <t>Rampal Coal Power Plant 1320 MW, 400 KV GT-2 Imp</t>
  </si>
  <si>
    <t>Rampal Coal Power Plant 1320 MW, 230 KV SUT Imp</t>
  </si>
  <si>
    <t>Backfeed taken on 09/09/2021 on 230 KV line 1 &amp; 2 and COD not done yet but IOD done on 23/12/2023 at 00:00 hr. (NB1).</t>
  </si>
  <si>
    <t>Generator-1, Generatoin</t>
  </si>
  <si>
    <t>Generator-2, Generatoin</t>
  </si>
  <si>
    <t>Start Up Transformer (Aux)           for GT1 &amp; GT2</t>
  </si>
  <si>
    <t>Unique Meghnaghat 584MW CCPP</t>
  </si>
  <si>
    <t>Net GenerationUnique Meghnaghat 584MW</t>
  </si>
  <si>
    <t>WP031593</t>
  </si>
  <si>
    <t>WP026063</t>
  </si>
  <si>
    <t>Summit Power Meghnaghat-2 583 MW CCPP</t>
  </si>
  <si>
    <t>Reliance Bangladesh LNG &amp; Power Ltd. 718 MW GT-11</t>
  </si>
  <si>
    <t>Reliance Bangladesh LNG &amp; Power Ltd. 718 MW GT-12</t>
  </si>
  <si>
    <t>Reliance Bangladesh LNG &amp; Power Ltd. 718 MW ST-10</t>
  </si>
  <si>
    <t>WP031166</t>
  </si>
  <si>
    <t>WP031159</t>
  </si>
  <si>
    <t>WP031158</t>
  </si>
  <si>
    <t>Net Reliance Bangladesh LNG &amp; Power Ltd</t>
  </si>
  <si>
    <t>Power Pac Karaniganj 100 MW RPP, Exp</t>
  </si>
  <si>
    <t>Power Pac Karaniganj 100 MW RPP, Imp</t>
  </si>
  <si>
    <t xml:space="preserve">Net Generation of 102 MW Digital Power and Associates Ltd.   </t>
  </si>
  <si>
    <t>B-R PowerGen Com Ltd 150 MW T-1 Exp</t>
  </si>
  <si>
    <t>B-R PowerGen Com Ltd 150 MW T-1 Imp</t>
  </si>
  <si>
    <t>B-R PowerGen Com Ltd 150 MW T-2 Exp</t>
  </si>
  <si>
    <t>B-R PowerGen Com Ltd 150 MW T-2 Imp</t>
  </si>
  <si>
    <t>B-R PowerGen Com Ltd 150 MW T-3 Exp</t>
  </si>
  <si>
    <t>B-R PowerGen Com Ltd 150 MW T-3 Imp</t>
  </si>
  <si>
    <t>B-R PowerGen Com Ltd 150 MW T-4 Exp</t>
  </si>
  <si>
    <t>B-R PowerGen Com Ltd 150 MW T-4 Imp</t>
  </si>
  <si>
    <t xml:space="preserve">Net Generation of B-R PowerGen Com Ltd 150 MW </t>
  </si>
  <si>
    <t>Net Generation Manikganj Power Generation Ltd.162 MW HFO</t>
  </si>
  <si>
    <t>Manikganj 162 MW HFO Exp</t>
  </si>
  <si>
    <t>Manikganj 162 MW HFO Imp</t>
  </si>
  <si>
    <t>Tongi, 80MW  Power Station, Exp</t>
  </si>
  <si>
    <t>Tongi, 80MW  Power Station, Imp</t>
  </si>
  <si>
    <t>Net Generation of Tongi, 80MW  Power Station</t>
  </si>
  <si>
    <t>Net Generation Summit Meghnaghat 583MW</t>
  </si>
  <si>
    <t>Net Generation of 20MW Teknaf Solar</t>
  </si>
  <si>
    <t>EGCB Sonagazi 75MW Solar TR-1 Export</t>
  </si>
  <si>
    <t>EGCB Sonagazi 75MW Solar TR-1 Import</t>
  </si>
  <si>
    <t>EGCB Sonagazi 75MW Solar TR-2,Export</t>
  </si>
  <si>
    <t>EGCB Sonagazi 75MW Solar TR-2,Import</t>
  </si>
  <si>
    <t>Net Generation Sonagazi 75MW Solar plant ( EGCB)</t>
  </si>
  <si>
    <t>Net Generation EPVTL 115 MW IPP</t>
  </si>
  <si>
    <t xml:space="preserve"> Gas Turbine-1, 20MW/imp</t>
  </si>
  <si>
    <t xml:space="preserve"> Gas Turbine-1, 20MW/Exp</t>
  </si>
  <si>
    <t xml:space="preserve"> Gas Turbine-2, 20MW/imp</t>
  </si>
  <si>
    <t xml:space="preserve"> Gas Turbine-2, 20MW/Exp</t>
  </si>
  <si>
    <t xml:space="preserve"> Gas Turbine-3, 20MW/ipm</t>
  </si>
  <si>
    <t xml:space="preserve"> Gas Turbine-3, 20MW/exp</t>
  </si>
  <si>
    <t>BD002167</t>
  </si>
  <si>
    <t>BD002005</t>
  </si>
  <si>
    <t>BD002120</t>
  </si>
  <si>
    <t>Reliance Bangladesh LNG &amp; Power Ltd</t>
  </si>
  <si>
    <t>Reliance Bangladesh LNG &amp; Power Ltd CCPP</t>
  </si>
  <si>
    <t>Sonagazi 75MW Solar plant ( EGCB)</t>
  </si>
  <si>
    <t>Shahjibazar 330 MW  Auxi Imp from 100 MW</t>
  </si>
  <si>
    <t>000203</t>
  </si>
  <si>
    <t>Utility</t>
  </si>
  <si>
    <t>Billed Amount</t>
  </si>
  <si>
    <t>AIT</t>
  </si>
  <si>
    <t>Net Bill Total</t>
  </si>
  <si>
    <t>Last Payment Date</t>
  </si>
  <si>
    <t>Bill Month :</t>
  </si>
  <si>
    <t>132&amp;230kV Consumer</t>
  </si>
  <si>
    <t>B-R Powergen Ltd.Sreepur 150MW HFO PP,Gazipur-Exp</t>
  </si>
  <si>
    <t>B-R Powergen Ltd.Sreepur 150MW HFO PP,Gazipur-Imp</t>
  </si>
  <si>
    <t xml:space="preserve">Net Generation of B-R Powergen Ltd.Sreepur 150MW HFO </t>
  </si>
  <si>
    <t>B-R Powergen Ltd. Sreepur 150MW</t>
  </si>
  <si>
    <t>32 govt</t>
  </si>
  <si>
    <t>35 govt</t>
  </si>
  <si>
    <t xml:space="preserve"> 34 govt</t>
  </si>
  <si>
    <t>Barisal 1 MWp  Solar PP</t>
  </si>
  <si>
    <t xml:space="preserve">Barisal 1 MWp  Solar PP Aux </t>
  </si>
  <si>
    <t>Net Generation Barisal 1 MWp  Solar PP</t>
  </si>
  <si>
    <t xml:space="preserve">BEPCL 307 MW Imp       </t>
  </si>
  <si>
    <t xml:space="preserve">BEPCL 307 MW Exp         </t>
  </si>
  <si>
    <t>Total Solar</t>
  </si>
  <si>
    <t xml:space="preserve">Sirajgonj NW 68 MW Solar PP Net Generation </t>
  </si>
  <si>
    <t>Sirajgonj NW 68 MW Solar PP</t>
  </si>
  <si>
    <t>Net Generation Ashugang P/Stn 53MW Gas Engine, Exp</t>
  </si>
  <si>
    <t>800 MW Rupsha DF Power Plant Line1- exp</t>
  </si>
  <si>
    <t>800 MW Rupsha DF Power Plant Line2- exp</t>
  </si>
  <si>
    <t>800 MW Rupsha DF Power Plant Line1- imp</t>
  </si>
  <si>
    <t>800 MW Rupsha DF Power Plant Line2- imp</t>
  </si>
  <si>
    <t>Net Generation 800 MW (Rupsha Dual Fuel), Khulna.</t>
  </si>
  <si>
    <t xml:space="preserve"> Rupsha 800 MW NWPGCL Khulna.</t>
  </si>
  <si>
    <t>O &amp; M CTG (COX'S Bazar)</t>
  </si>
  <si>
    <t>**</t>
  </si>
  <si>
    <t>//</t>
  </si>
  <si>
    <t>Sirajgonj NW 68 MW Solar Power Plant (EXP) Line-1</t>
  </si>
  <si>
    <t>Sirajgonj NW 68 MW Solar Power Plant (IMP) Line-2</t>
  </si>
  <si>
    <t>Sirajgonj NW 68 MW Solar Power Plant (EXP) Line-2</t>
  </si>
  <si>
    <t>Sirajgonj NW 68 MW Solar Power Plant (IMP) Line-1</t>
  </si>
  <si>
    <r>
      <t xml:space="preserve">Chandpur CP </t>
    </r>
    <r>
      <rPr>
        <sz val="8"/>
        <color rgb="FFFF0000"/>
        <rFont val="Arial"/>
        <family val="2"/>
      </rPr>
      <t>150MW</t>
    </r>
    <r>
      <rPr>
        <sz val="8"/>
        <rFont val="Arial"/>
        <family val="2"/>
      </rPr>
      <t xml:space="preserve"> ( PDB ), Exp-GT</t>
    </r>
  </si>
  <si>
    <r>
      <t xml:space="preserve">Chandpur CP </t>
    </r>
    <r>
      <rPr>
        <sz val="8"/>
        <color rgb="FFFF0000"/>
        <rFont val="Arial"/>
        <family val="2"/>
      </rPr>
      <t>150MW</t>
    </r>
    <r>
      <rPr>
        <sz val="8"/>
        <rFont val="Arial"/>
        <family val="2"/>
      </rPr>
      <t xml:space="preserve"> ( PDB ), Exp-ST</t>
    </r>
  </si>
  <si>
    <t>Barapukuria  Gen-1 (125 MW)</t>
  </si>
  <si>
    <t>Barapukuria  Gen-2 (125 MW)</t>
  </si>
  <si>
    <t>DSEPL 100 MW Solar Power Plant (Exp)</t>
  </si>
  <si>
    <t>DSEPL 100 MW Solar Power Plant (Imp)</t>
  </si>
  <si>
    <t xml:space="preserve">DSEPL 100 MW Solar Power Plant Net Generation </t>
  </si>
  <si>
    <t>LGZ61480197</t>
  </si>
  <si>
    <t>Dynamic Sun Pvt. Ltd. 100MW Solar Pabna</t>
  </si>
  <si>
    <t>Division</t>
  </si>
  <si>
    <t>kWH</t>
  </si>
  <si>
    <t>WP056016 (New)</t>
  </si>
  <si>
    <t>Last Reading</t>
  </si>
  <si>
    <t>Prev</t>
  </si>
  <si>
    <t>Present</t>
  </si>
  <si>
    <t>Old Meter</t>
  </si>
  <si>
    <t xml:space="preserve">Net Generation UPPL Patuakhali </t>
  </si>
  <si>
    <t>RNPL 1320 MW L1 Exp</t>
  </si>
  <si>
    <t>WP042120</t>
  </si>
  <si>
    <t>RNPL 1320 MW L1 Imp</t>
  </si>
  <si>
    <t>RNPL 1320 MW L2 Exp</t>
  </si>
  <si>
    <t>WP042126</t>
  </si>
  <si>
    <t>RNPL 1320 MW L2 Imp</t>
  </si>
  <si>
    <t>Net Generation RNPL 1320 MW</t>
  </si>
  <si>
    <t>Patuakhali 1320MW RNPL</t>
  </si>
  <si>
    <t>Saidpur 150 MW SCPP (Exp.)</t>
  </si>
  <si>
    <t>Saidpur 150 MW SCPP (Imp.)</t>
  </si>
  <si>
    <t>WP033447</t>
  </si>
  <si>
    <t>Net Generation Saidpur 150 MW SCPP</t>
  </si>
  <si>
    <t>Saidpur 150 MW SCPP</t>
  </si>
  <si>
    <t xml:space="preserve">230kV Rooppur-Baghabari Ckt-1&amp;2 </t>
  </si>
  <si>
    <t xml:space="preserve">Export to 230kV Rooppur-Baghabari Ckt-1&amp;2 </t>
  </si>
  <si>
    <t>Month: June/2025</t>
  </si>
  <si>
    <t>Jashore pbs-2 Generation(Via 33kv Tr-3,Noapara Grid)</t>
  </si>
  <si>
    <t>50498565 (A-)</t>
  </si>
  <si>
    <t>50498755 (A-)</t>
  </si>
  <si>
    <t>Akiz Jute Mills Ltd. Solar (Net Metering)</t>
  </si>
  <si>
    <t>Total Grid Import (46+47-48)</t>
  </si>
  <si>
    <t>% Transmission Loss (50/49*100)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</si>
</sst>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000"/>
    <numFmt numFmtId="167" formatCode="0.0"/>
    <numFmt numFmtId="168" formatCode="_(* #,##0_);_(* \(#,##0\);_(* &quot;-&quot;??_);_(@_)"/>
    <numFmt numFmtId="169" formatCode="0.000000"/>
    <numFmt numFmtId="170" formatCode="0.00000"/>
    <numFmt numFmtId="171" formatCode="0.0%"/>
    <numFmt numFmtId="172" formatCode="0.0000000"/>
    <numFmt numFmtId="173" formatCode="[$-409]mmm/yy;@"/>
    <numFmt numFmtId="174" formatCode="[$-409]mmmm/yy;@"/>
    <numFmt numFmtId="175" formatCode="[$-409]d/mmm/yyyy;@"/>
    <numFmt numFmtId="176" formatCode="0.00000000"/>
    <numFmt numFmtId="177" formatCode="_ &quot;₹&quot;\ * #,##0.00_ ;_ &quot;₹&quot;\ * \-#,##0.00_ ;_ &quot;₹&quot;\ * &quot;-&quot;??_ ;_ @_ "/>
  </numFmts>
  <fonts count="18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sz val="6"/>
      <name val="Arial"/>
      <family val="2"/>
    </font>
    <font>
      <b/>
      <sz val="8"/>
      <color indexed="8"/>
      <name val="Arial"/>
      <family val="2"/>
    </font>
    <font>
      <sz val="7"/>
      <name val="Arial"/>
      <family val="2"/>
    </font>
    <font>
      <b/>
      <sz val="8"/>
      <name val="Times New Roman"/>
      <family val="1"/>
    </font>
    <font>
      <sz val="12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8"/>
      <color indexed="10"/>
      <name val="Times New Roman"/>
      <family val="1"/>
    </font>
    <font>
      <sz val="9"/>
      <name val="Arial"/>
      <family val="2"/>
    </font>
    <font>
      <sz val="10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sz val="8"/>
      <color indexed="10"/>
      <name val="Arial"/>
      <family val="2"/>
    </font>
    <font>
      <b/>
      <sz val="8"/>
      <color indexed="10"/>
      <name val="Arial"/>
      <family val="2"/>
    </font>
    <font>
      <sz val="10"/>
      <color indexed="10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Times New Roman"/>
      <family val="1"/>
    </font>
    <font>
      <b/>
      <sz val="8"/>
      <color indexed="8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b/>
      <sz val="9"/>
      <color rgb="FFFF0000"/>
      <name val="Times New Roman"/>
      <family val="1"/>
    </font>
    <font>
      <sz val="8"/>
      <color theme="1"/>
      <name val="Arial"/>
      <family val="2"/>
    </font>
    <font>
      <sz val="11"/>
      <color rgb="FFFF0000"/>
      <name val="Times New Roman"/>
      <family val="1"/>
    </font>
    <font>
      <b/>
      <sz val="11"/>
      <color rgb="FF0070C0"/>
      <name val="Times New Roman"/>
      <family val="1"/>
    </font>
    <font>
      <sz val="11"/>
      <color rgb="FF0070C0"/>
      <name val="Times New Roman"/>
      <family val="1"/>
    </font>
    <font>
      <b/>
      <u/>
      <sz val="14"/>
      <color indexed="8"/>
      <name val="Times New Roman"/>
      <family val="1"/>
    </font>
    <font>
      <sz val="10"/>
      <color indexed="8"/>
      <name val="Times New Roman"/>
      <family val="1"/>
    </font>
    <font>
      <b/>
      <sz val="13"/>
      <name val="Times New Roman"/>
      <family val="1"/>
    </font>
    <font>
      <b/>
      <u/>
      <sz val="18"/>
      <color indexed="8"/>
      <name val="Times New Roman"/>
      <family val="1"/>
    </font>
    <font>
      <b/>
      <sz val="16"/>
      <color indexed="8"/>
      <name val="Times New Roman"/>
      <family val="1"/>
    </font>
    <font>
      <sz val="9"/>
      <color indexed="8"/>
      <name val="Times New Roman"/>
      <family val="1"/>
    </font>
    <font>
      <b/>
      <sz val="18"/>
      <name val="Times New Roman"/>
      <family val="1"/>
    </font>
    <font>
      <b/>
      <sz val="16"/>
      <name val="Times New Roman"/>
      <family val="1"/>
    </font>
    <font>
      <sz val="9"/>
      <color rgb="FFFF0000"/>
      <name val="Times New Roman"/>
      <family val="1"/>
    </font>
    <font>
      <b/>
      <u/>
      <sz val="14"/>
      <name val="Times New Roman"/>
      <family val="1"/>
    </font>
    <font>
      <b/>
      <sz val="12"/>
      <name val="Times New Roman"/>
      <family val="1"/>
    </font>
    <font>
      <sz val="14"/>
      <name val="Arial"/>
      <family val="2"/>
    </font>
    <font>
      <b/>
      <sz val="14"/>
      <name val="Times New Roman"/>
      <family val="1"/>
    </font>
    <font>
      <sz val="9"/>
      <color indexed="8"/>
      <name val="Arial Narrow"/>
      <family val="2"/>
    </font>
    <font>
      <sz val="8"/>
      <color rgb="FF00B050"/>
      <name val="Arial"/>
      <family val="2"/>
    </font>
    <font>
      <sz val="8"/>
      <color theme="1"/>
      <name val="Times New Roman"/>
      <family val="1"/>
    </font>
    <font>
      <sz val="10"/>
      <name val="Arial"/>
      <family val="2"/>
    </font>
    <font>
      <b/>
      <sz val="8"/>
      <color theme="5" tint="-0.249977111117893"/>
      <name val="Arial"/>
      <family val="2"/>
    </font>
    <font>
      <b/>
      <sz val="9"/>
      <color theme="5" tint="-0.249977111117893"/>
      <name val="Arial"/>
      <family val="2"/>
    </font>
    <font>
      <b/>
      <sz val="9"/>
      <color theme="1"/>
      <name val="Arial"/>
      <family val="2"/>
    </font>
    <font>
      <sz val="8"/>
      <color rgb="FFC00000"/>
      <name val="Times New Roman"/>
      <family val="1"/>
    </font>
    <font>
      <sz val="9"/>
      <color theme="1"/>
      <name val="Arial"/>
      <family val="2"/>
    </font>
    <font>
      <sz val="8"/>
      <color theme="9" tint="-0.499984740745262"/>
      <name val="Arial"/>
      <family val="2"/>
    </font>
    <font>
      <b/>
      <sz val="9"/>
      <color indexed="8"/>
      <name val="Arial"/>
      <family val="2"/>
    </font>
    <font>
      <b/>
      <sz val="16"/>
      <name val="Arial"/>
      <family val="2"/>
    </font>
    <font>
      <b/>
      <sz val="9"/>
      <color indexed="8"/>
      <name val="Arial Narrow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8"/>
      <color theme="6" tint="-0.249977111117893"/>
      <name val="Arial"/>
      <family val="2"/>
    </font>
    <font>
      <sz val="8"/>
      <color theme="6" tint="-0.249977111117893"/>
      <name val="Times New Roman"/>
      <family val="1"/>
    </font>
    <font>
      <b/>
      <sz val="8"/>
      <color theme="6" tint="-0.249977111117893"/>
      <name val="Arial"/>
      <family val="2"/>
    </font>
    <font>
      <b/>
      <sz val="9"/>
      <color theme="6" tint="-0.249977111117893"/>
      <name val="Arial"/>
      <family val="2"/>
    </font>
    <font>
      <sz val="8"/>
      <color rgb="FFFF0000"/>
      <name val="Times New Roman"/>
      <family val="1"/>
    </font>
    <font>
      <sz val="10"/>
      <color rgb="FF000000"/>
      <name val="Arial Narrow"/>
      <family val="2"/>
    </font>
    <font>
      <b/>
      <sz val="14"/>
      <name val="Arial"/>
      <family val="2"/>
    </font>
    <font>
      <b/>
      <sz val="16"/>
      <color theme="3" tint="-0.249977111117893"/>
      <name val="Arial"/>
      <family val="2"/>
    </font>
    <font>
      <b/>
      <sz val="13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b/>
      <sz val="9"/>
      <color theme="0"/>
      <name val="Arial"/>
      <family val="2"/>
    </font>
    <font>
      <sz val="7"/>
      <color theme="0"/>
      <name val="Arial"/>
      <family val="2"/>
    </font>
    <font>
      <b/>
      <sz val="10"/>
      <color indexed="10"/>
      <name val="Arial"/>
      <family val="2"/>
    </font>
    <font>
      <sz val="9"/>
      <color theme="5" tint="-0.249977111117893"/>
      <name val="Times New Roman"/>
      <family val="1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sz val="11"/>
      <color indexed="63"/>
      <name val="Calibri"/>
      <family val="2"/>
      <scheme val="minor"/>
    </font>
    <font>
      <sz val="8"/>
      <name val="Arial"/>
      <family val="2"/>
    </font>
    <font>
      <sz val="8"/>
      <color theme="0"/>
      <name val="Times New Roman"/>
      <family val="1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</font>
    <font>
      <sz val="9"/>
      <color rgb="FFC00000"/>
      <name val="Arial Narrow"/>
      <family val="2"/>
    </font>
    <font>
      <sz val="8"/>
      <color rgb="FFC00000"/>
      <name val="Arial"/>
      <family val="2"/>
    </font>
    <font>
      <sz val="9"/>
      <color rgb="FFC00000"/>
      <name val="Arial"/>
      <family val="2"/>
    </font>
    <font>
      <sz val="8"/>
      <color theme="3" tint="-0.249977111117893"/>
      <name val="Arial"/>
      <family val="2"/>
    </font>
    <font>
      <sz val="8"/>
      <color theme="3" tint="-0.249977111117893"/>
      <name val="Times New Roman"/>
      <family val="1"/>
    </font>
    <font>
      <sz val="10"/>
      <color theme="0"/>
      <name val="Times New Roman"/>
      <family val="1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sz val="9"/>
      <color indexed="8"/>
      <name val="Arial"/>
      <family val="2"/>
    </font>
    <font>
      <sz val="8"/>
      <color theme="7" tint="0.59999389629810485"/>
      <name val="Arial"/>
      <family val="2"/>
    </font>
    <font>
      <sz val="8"/>
      <color theme="7" tint="0.59999389629810485"/>
      <name val="Times New Roman"/>
      <family val="1"/>
    </font>
    <font>
      <b/>
      <sz val="8"/>
      <color theme="7" tint="0.59999389629810485"/>
      <name val="Arial"/>
      <family val="2"/>
    </font>
    <font>
      <b/>
      <sz val="9"/>
      <color theme="7" tint="0.59999389629810485"/>
      <name val="Arial"/>
      <family val="2"/>
    </font>
    <font>
      <i/>
      <sz val="10"/>
      <name val="Arial"/>
      <family val="2"/>
    </font>
    <font>
      <b/>
      <sz val="8"/>
      <color rgb="FF7030A0"/>
      <name val="Arial"/>
      <family val="2"/>
    </font>
    <font>
      <sz val="8"/>
      <color theme="8" tint="-0.499984740745262"/>
      <name val="Arial"/>
      <family val="2"/>
    </font>
    <font>
      <sz val="10"/>
      <color rgb="FF00B050"/>
      <name val="Arial"/>
      <family val="2"/>
    </font>
    <font>
      <sz val="10"/>
      <name val="Arial Narrow"/>
      <family val="2"/>
    </font>
    <font>
      <b/>
      <sz val="12"/>
      <color rgb="FF00B05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b/>
      <sz val="12"/>
      <color rgb="FF00B0F0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0"/>
      <color rgb="FF7030A0"/>
      <name val="Arial"/>
      <family val="2"/>
    </font>
    <font>
      <b/>
      <sz val="9"/>
      <color rgb="FF00B050"/>
      <name val="Arial"/>
      <family val="2"/>
    </font>
    <font>
      <b/>
      <sz val="8"/>
      <color rgb="FF00B050"/>
      <name val="Arial"/>
      <family val="2"/>
    </font>
    <font>
      <sz val="8"/>
      <color indexed="8"/>
      <name val="Calibri"/>
      <family val="2"/>
    </font>
    <font>
      <b/>
      <sz val="9"/>
      <color rgb="FF0070C0"/>
      <name val="Arial"/>
      <family val="2"/>
    </font>
    <font>
      <b/>
      <sz val="8"/>
      <color rgb="FF0070C0"/>
      <name val="Arial"/>
      <family val="2"/>
    </font>
    <font>
      <b/>
      <sz val="9"/>
      <color rgb="FF00B0F0"/>
      <name val="Arial"/>
      <family val="2"/>
    </font>
    <font>
      <sz val="8"/>
      <color rgb="FF00B0F0"/>
      <name val="Arial"/>
      <family val="2"/>
    </font>
    <font>
      <b/>
      <sz val="8"/>
      <color rgb="FF00B0F0"/>
      <name val="Arial"/>
      <family val="2"/>
    </font>
  </fonts>
  <fills count="9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rgb="FF000000"/>
      </left>
      <right style="hair">
        <color rgb="FF000000"/>
      </right>
      <top style="dotted">
        <color indexed="64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603">
    <xf numFmtId="0" fontId="0" fillId="0" borderId="0"/>
    <xf numFmtId="43" fontId="9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15" fillId="0" borderId="0"/>
    <xf numFmtId="9" fontId="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7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43" fontId="82" fillId="0" borderId="0" applyFont="0" applyFill="0" applyBorder="0" applyAlignment="0" applyProtection="0"/>
    <xf numFmtId="43" fontId="9" fillId="0" borderId="0">
      <protection locked="0"/>
    </xf>
    <xf numFmtId="9" fontId="9" fillId="0" borderId="0">
      <protection locked="0"/>
    </xf>
    <xf numFmtId="0" fontId="9" fillId="0" borderId="0"/>
    <xf numFmtId="0" fontId="9" fillId="0" borderId="0"/>
    <xf numFmtId="0" fontId="83" fillId="0" borderId="0">
      <protection locked="0"/>
    </xf>
    <xf numFmtId="43" fontId="9" fillId="0" borderId="0">
      <protection locked="0"/>
    </xf>
    <xf numFmtId="9" fontId="9" fillId="0" borderId="0">
      <protection locked="0"/>
    </xf>
    <xf numFmtId="0" fontId="9" fillId="0" borderId="0">
      <alignment vertical="center"/>
    </xf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24" borderId="0" applyNumberFormat="0" applyBorder="0" applyAlignment="0" applyProtection="0"/>
    <xf numFmtId="0" fontId="15" fillId="27" borderId="0" applyNumberFormat="0" applyBorder="0" applyAlignment="0" applyProtection="0"/>
    <xf numFmtId="0" fontId="15" fillId="30" borderId="0" applyNumberFormat="0" applyBorder="0" applyAlignment="0" applyProtection="0"/>
    <xf numFmtId="0" fontId="85" fillId="31" borderId="0" applyNumberFormat="0" applyBorder="0" applyAlignment="0" applyProtection="0"/>
    <xf numFmtId="0" fontId="85" fillId="28" borderId="0" applyNumberFormat="0" applyBorder="0" applyAlignment="0" applyProtection="0"/>
    <xf numFmtId="0" fontId="85" fillId="29" borderId="0" applyNumberFormat="0" applyBorder="0" applyAlignment="0" applyProtection="0"/>
    <xf numFmtId="0" fontId="85" fillId="32" borderId="0" applyNumberFormat="0" applyBorder="0" applyAlignment="0" applyProtection="0"/>
    <xf numFmtId="0" fontId="85" fillId="33" borderId="0" applyNumberFormat="0" applyBorder="0" applyAlignment="0" applyProtection="0"/>
    <xf numFmtId="0" fontId="85" fillId="34" borderId="0" applyNumberFormat="0" applyBorder="0" applyAlignment="0" applyProtection="0"/>
    <xf numFmtId="0" fontId="85" fillId="35" borderId="0" applyNumberFormat="0" applyBorder="0" applyAlignment="0" applyProtection="0"/>
    <xf numFmtId="0" fontId="85" fillId="36" borderId="0" applyNumberFormat="0" applyBorder="0" applyAlignment="0" applyProtection="0"/>
    <xf numFmtId="0" fontId="85" fillId="37" borderId="0" applyNumberFormat="0" applyBorder="0" applyAlignment="0" applyProtection="0"/>
    <xf numFmtId="0" fontId="85" fillId="32" borderId="0" applyNumberFormat="0" applyBorder="0" applyAlignment="0" applyProtection="0"/>
    <xf numFmtId="0" fontId="85" fillId="33" borderId="0" applyNumberFormat="0" applyBorder="0" applyAlignment="0" applyProtection="0"/>
    <xf numFmtId="0" fontId="85" fillId="38" borderId="0" applyNumberFormat="0" applyBorder="0" applyAlignment="0" applyProtection="0"/>
    <xf numFmtId="0" fontId="86" fillId="22" borderId="0" applyNumberFormat="0" applyBorder="0" applyAlignment="0" applyProtection="0"/>
    <xf numFmtId="0" fontId="87" fillId="39" borderId="56" applyNumberFormat="0" applyAlignment="0" applyProtection="0"/>
    <xf numFmtId="0" fontId="88" fillId="40" borderId="57" applyNumberFormat="0" applyAlignment="0" applyProtection="0"/>
    <xf numFmtId="0" fontId="89" fillId="0" borderId="0" applyNumberFormat="0" applyFill="0" applyBorder="0" applyAlignment="0" applyProtection="0"/>
    <xf numFmtId="0" fontId="90" fillId="23" borderId="0" applyNumberFormat="0" applyBorder="0" applyAlignment="0" applyProtection="0"/>
    <xf numFmtId="0" fontId="91" fillId="0" borderId="58" applyNumberFormat="0" applyFill="0" applyAlignment="0" applyProtection="0"/>
    <xf numFmtId="0" fontId="92" fillId="0" borderId="59" applyNumberFormat="0" applyFill="0" applyAlignment="0" applyProtection="0"/>
    <xf numFmtId="0" fontId="93" fillId="0" borderId="60" applyNumberFormat="0" applyFill="0" applyAlignment="0" applyProtection="0"/>
    <xf numFmtId="0" fontId="93" fillId="0" borderId="0" applyNumberFormat="0" applyFill="0" applyBorder="0" applyAlignment="0" applyProtection="0"/>
    <xf numFmtId="0" fontId="94" fillId="26" borderId="56" applyNumberFormat="0" applyAlignment="0" applyProtection="0"/>
    <xf numFmtId="0" fontId="95" fillId="0" borderId="61" applyNumberFormat="0" applyFill="0" applyAlignment="0" applyProtection="0"/>
    <xf numFmtId="0" fontId="96" fillId="41" borderId="0" applyNumberFormat="0" applyBorder="0" applyAlignment="0" applyProtection="0"/>
    <xf numFmtId="0" fontId="15" fillId="0" borderId="0"/>
    <xf numFmtId="0" fontId="9" fillId="0" borderId="0"/>
    <xf numFmtId="0" fontId="9" fillId="42" borderId="62" applyNumberFormat="0" applyFont="0" applyAlignment="0" applyProtection="0"/>
    <xf numFmtId="0" fontId="97" fillId="39" borderId="63" applyNumberFormat="0" applyAlignment="0" applyProtection="0"/>
    <xf numFmtId="9" fontId="9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84" fillId="0" borderId="64" applyNumberFormat="0" applyFill="0" applyAlignment="0" applyProtection="0"/>
    <xf numFmtId="0" fontId="99" fillId="0" borderId="0" applyNumberFormat="0" applyFill="0" applyBorder="0" applyAlignment="0" applyProtection="0"/>
    <xf numFmtId="0" fontId="100" fillId="0" borderId="0"/>
    <xf numFmtId="43" fontId="10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1" fillId="0" borderId="0" applyFont="0" applyFill="0" applyBorder="0" applyAlignment="0" applyProtection="0"/>
    <xf numFmtId="0" fontId="7" fillId="0" borderId="0"/>
    <xf numFmtId="0" fontId="6" fillId="0" borderId="0"/>
    <xf numFmtId="43" fontId="132" fillId="0" borderId="0" applyFont="0" applyFill="0" applyBorder="0" applyAlignment="0" applyProtection="0"/>
    <xf numFmtId="164" fontId="132" fillId="0" borderId="0" applyFont="0" applyFill="0" applyBorder="0" applyAlignment="0" applyProtection="0"/>
    <xf numFmtId="9" fontId="132" fillId="0" borderId="0" applyFont="0" applyFill="0" applyBorder="0" applyAlignment="0" applyProtection="0"/>
    <xf numFmtId="170" fontId="9" fillId="0" borderId="0" applyFont="0" applyFill="0" applyBorder="0" applyAlignment="0" applyProtection="0"/>
    <xf numFmtId="0" fontId="5" fillId="0" borderId="0"/>
    <xf numFmtId="0" fontId="9" fillId="0" borderId="0"/>
    <xf numFmtId="0" fontId="136" fillId="0" borderId="0"/>
    <xf numFmtId="0" fontId="136" fillId="0" borderId="0"/>
    <xf numFmtId="44" fontId="9" fillId="0" borderId="0" applyFont="0" applyFill="0" applyBorder="0" applyAlignment="0" applyProtection="0"/>
    <xf numFmtId="0" fontId="4" fillId="0" borderId="0"/>
    <xf numFmtId="0" fontId="4" fillId="0" borderId="0"/>
    <xf numFmtId="43" fontId="9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3" fillId="0" borderId="0"/>
    <xf numFmtId="0" fontId="148" fillId="0" borderId="0" applyNumberFormat="0" applyFill="0" applyBorder="0" applyAlignment="0" applyProtection="0"/>
    <xf numFmtId="0" fontId="149" fillId="0" borderId="77" applyNumberFormat="0" applyFill="0" applyAlignment="0" applyProtection="0"/>
    <xf numFmtId="0" fontId="150" fillId="0" borderId="78" applyNumberFormat="0" applyFill="0" applyAlignment="0" applyProtection="0"/>
    <xf numFmtId="0" fontId="151" fillId="0" borderId="79" applyNumberFormat="0" applyFill="0" applyAlignment="0" applyProtection="0"/>
    <xf numFmtId="0" fontId="151" fillId="0" borderId="0" applyNumberFormat="0" applyFill="0" applyBorder="0" applyAlignment="0" applyProtection="0"/>
    <xf numFmtId="0" fontId="152" fillId="64" borderId="0" applyNumberFormat="0" applyBorder="0" applyAlignment="0" applyProtection="0"/>
    <xf numFmtId="0" fontId="153" fillId="65" borderId="0" applyNumberFormat="0" applyBorder="0" applyAlignment="0" applyProtection="0"/>
    <xf numFmtId="0" fontId="154" fillId="66" borderId="0" applyNumberFormat="0" applyBorder="0" applyAlignment="0" applyProtection="0"/>
    <xf numFmtId="0" fontId="155" fillId="67" borderId="80" applyNumberFormat="0" applyAlignment="0" applyProtection="0"/>
    <xf numFmtId="0" fontId="156" fillId="68" borderId="81" applyNumberFormat="0" applyAlignment="0" applyProtection="0"/>
    <xf numFmtId="0" fontId="157" fillId="68" borderId="80" applyNumberFormat="0" applyAlignment="0" applyProtection="0"/>
    <xf numFmtId="0" fontId="158" fillId="0" borderId="82" applyNumberFormat="0" applyFill="0" applyAlignment="0" applyProtection="0"/>
    <xf numFmtId="0" fontId="159" fillId="69" borderId="83" applyNumberFormat="0" applyAlignment="0" applyProtection="0"/>
    <xf numFmtId="0" fontId="160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2" fillId="0" borderId="85" applyNumberFormat="0" applyFill="0" applyAlignment="0" applyProtection="0"/>
    <xf numFmtId="0" fontId="163" fillId="71" borderId="0" applyNumberFormat="0" applyBorder="0" applyAlignment="0" applyProtection="0"/>
    <xf numFmtId="0" fontId="2" fillId="72" borderId="0" applyNumberFormat="0" applyBorder="0" applyAlignment="0" applyProtection="0"/>
    <xf numFmtId="0" fontId="2" fillId="73" borderId="0" applyNumberFormat="0" applyBorder="0" applyAlignment="0" applyProtection="0"/>
    <xf numFmtId="0" fontId="163" fillId="74" borderId="0" applyNumberFormat="0" applyBorder="0" applyAlignment="0" applyProtection="0"/>
    <xf numFmtId="0" fontId="163" fillId="75" borderId="0" applyNumberFormat="0" applyBorder="0" applyAlignment="0" applyProtection="0"/>
    <xf numFmtId="0" fontId="2" fillId="76" borderId="0" applyNumberFormat="0" applyBorder="0" applyAlignment="0" applyProtection="0"/>
    <xf numFmtId="0" fontId="2" fillId="77" borderId="0" applyNumberFormat="0" applyBorder="0" applyAlignment="0" applyProtection="0"/>
    <xf numFmtId="0" fontId="163" fillId="78" borderId="0" applyNumberFormat="0" applyBorder="0" applyAlignment="0" applyProtection="0"/>
    <xf numFmtId="0" fontId="163" fillId="79" borderId="0" applyNumberFormat="0" applyBorder="0" applyAlignment="0" applyProtection="0"/>
    <xf numFmtId="0" fontId="2" fillId="80" borderId="0" applyNumberFormat="0" applyBorder="0" applyAlignment="0" applyProtection="0"/>
    <xf numFmtId="0" fontId="2" fillId="81" borderId="0" applyNumberFormat="0" applyBorder="0" applyAlignment="0" applyProtection="0"/>
    <xf numFmtId="0" fontId="163" fillId="82" borderId="0" applyNumberFormat="0" applyBorder="0" applyAlignment="0" applyProtection="0"/>
    <xf numFmtId="0" fontId="163" fillId="83" borderId="0" applyNumberFormat="0" applyBorder="0" applyAlignment="0" applyProtection="0"/>
    <xf numFmtId="0" fontId="2" fillId="84" borderId="0" applyNumberFormat="0" applyBorder="0" applyAlignment="0" applyProtection="0"/>
    <xf numFmtId="0" fontId="2" fillId="85" borderId="0" applyNumberFormat="0" applyBorder="0" applyAlignment="0" applyProtection="0"/>
    <xf numFmtId="0" fontId="163" fillId="86" borderId="0" applyNumberFormat="0" applyBorder="0" applyAlignment="0" applyProtection="0"/>
    <xf numFmtId="0" fontId="163" fillId="87" borderId="0" applyNumberFormat="0" applyBorder="0" applyAlignment="0" applyProtection="0"/>
    <xf numFmtId="0" fontId="2" fillId="88" borderId="0" applyNumberFormat="0" applyBorder="0" applyAlignment="0" applyProtection="0"/>
    <xf numFmtId="0" fontId="2" fillId="89" borderId="0" applyNumberFormat="0" applyBorder="0" applyAlignment="0" applyProtection="0"/>
    <xf numFmtId="0" fontId="163" fillId="90" borderId="0" applyNumberFormat="0" applyBorder="0" applyAlignment="0" applyProtection="0"/>
    <xf numFmtId="0" fontId="163" fillId="91" borderId="0" applyNumberFormat="0" applyBorder="0" applyAlignment="0" applyProtection="0"/>
    <xf numFmtId="0" fontId="2" fillId="92" borderId="0" applyNumberFormat="0" applyBorder="0" applyAlignment="0" applyProtection="0"/>
    <xf numFmtId="0" fontId="2" fillId="93" borderId="0" applyNumberFormat="0" applyBorder="0" applyAlignment="0" applyProtection="0"/>
    <xf numFmtId="0" fontId="163" fillId="94" borderId="0" applyNumberFormat="0" applyBorder="0" applyAlignment="0" applyProtection="0"/>
    <xf numFmtId="0" fontId="16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9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48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2" fillId="64" borderId="0" applyNumberFormat="0" applyBorder="0" applyAlignment="0" applyProtection="0"/>
    <xf numFmtId="0" fontId="153" fillId="65" borderId="0" applyNumberFormat="0" applyBorder="0" applyAlignment="0" applyProtection="0"/>
    <xf numFmtId="0" fontId="154" fillId="66" borderId="0" applyNumberFormat="0" applyBorder="0" applyAlignment="0" applyProtection="0"/>
    <xf numFmtId="0" fontId="160" fillId="0" borderId="0" applyNumberFormat="0" applyFill="0" applyBorder="0" applyAlignment="0" applyProtection="0"/>
    <xf numFmtId="0" fontId="2" fillId="70" borderId="84" applyNumberFormat="0" applyFont="0" applyAlignment="0" applyProtection="0"/>
    <xf numFmtId="0" fontId="161" fillId="0" borderId="0" applyNumberFormat="0" applyFill="0" applyBorder="0" applyAlignment="0" applyProtection="0"/>
    <xf numFmtId="0" fontId="163" fillId="71" borderId="0" applyNumberFormat="0" applyBorder="0" applyAlignment="0" applyProtection="0"/>
    <xf numFmtId="0" fontId="2" fillId="72" borderId="0" applyNumberFormat="0" applyBorder="0" applyAlignment="0" applyProtection="0"/>
    <xf numFmtId="0" fontId="2" fillId="73" borderId="0" applyNumberFormat="0" applyBorder="0" applyAlignment="0" applyProtection="0"/>
    <xf numFmtId="0" fontId="163" fillId="74" borderId="0" applyNumberFormat="0" applyBorder="0" applyAlignment="0" applyProtection="0"/>
    <xf numFmtId="0" fontId="163" fillId="75" borderId="0" applyNumberFormat="0" applyBorder="0" applyAlignment="0" applyProtection="0"/>
    <xf numFmtId="0" fontId="2" fillId="76" borderId="0" applyNumberFormat="0" applyBorder="0" applyAlignment="0" applyProtection="0"/>
    <xf numFmtId="0" fontId="2" fillId="77" borderId="0" applyNumberFormat="0" applyBorder="0" applyAlignment="0" applyProtection="0"/>
    <xf numFmtId="0" fontId="163" fillId="78" borderId="0" applyNumberFormat="0" applyBorder="0" applyAlignment="0" applyProtection="0"/>
    <xf numFmtId="0" fontId="163" fillId="79" borderId="0" applyNumberFormat="0" applyBorder="0" applyAlignment="0" applyProtection="0"/>
    <xf numFmtId="0" fontId="2" fillId="80" borderId="0" applyNumberFormat="0" applyBorder="0" applyAlignment="0" applyProtection="0"/>
    <xf numFmtId="0" fontId="2" fillId="81" borderId="0" applyNumberFormat="0" applyBorder="0" applyAlignment="0" applyProtection="0"/>
    <xf numFmtId="0" fontId="163" fillId="82" borderId="0" applyNumberFormat="0" applyBorder="0" applyAlignment="0" applyProtection="0"/>
    <xf numFmtId="0" fontId="163" fillId="83" borderId="0" applyNumberFormat="0" applyBorder="0" applyAlignment="0" applyProtection="0"/>
    <xf numFmtId="0" fontId="2" fillId="84" borderId="0" applyNumberFormat="0" applyBorder="0" applyAlignment="0" applyProtection="0"/>
    <xf numFmtId="0" fontId="2" fillId="85" borderId="0" applyNumberFormat="0" applyBorder="0" applyAlignment="0" applyProtection="0"/>
    <xf numFmtId="0" fontId="163" fillId="86" borderId="0" applyNumberFormat="0" applyBorder="0" applyAlignment="0" applyProtection="0"/>
    <xf numFmtId="0" fontId="163" fillId="87" borderId="0" applyNumberFormat="0" applyBorder="0" applyAlignment="0" applyProtection="0"/>
    <xf numFmtId="0" fontId="2" fillId="88" borderId="0" applyNumberFormat="0" applyBorder="0" applyAlignment="0" applyProtection="0"/>
    <xf numFmtId="0" fontId="2" fillId="89" borderId="0" applyNumberFormat="0" applyBorder="0" applyAlignment="0" applyProtection="0"/>
    <xf numFmtId="0" fontId="163" fillId="90" borderId="0" applyNumberFormat="0" applyBorder="0" applyAlignment="0" applyProtection="0"/>
    <xf numFmtId="0" fontId="163" fillId="91" borderId="0" applyNumberFormat="0" applyBorder="0" applyAlignment="0" applyProtection="0"/>
    <xf numFmtId="0" fontId="2" fillId="92" borderId="0" applyNumberFormat="0" applyBorder="0" applyAlignment="0" applyProtection="0"/>
    <xf numFmtId="0" fontId="2" fillId="93" borderId="0" applyNumberFormat="0" applyBorder="0" applyAlignment="0" applyProtection="0"/>
    <xf numFmtId="0" fontId="163" fillId="94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5" fillId="0" borderId="0"/>
    <xf numFmtId="0" fontId="2" fillId="0" borderId="0"/>
    <xf numFmtId="0" fontId="2" fillId="0" borderId="0"/>
    <xf numFmtId="0" fontId="2" fillId="70" borderId="84" applyNumberFormat="0" applyFont="0" applyAlignment="0" applyProtection="0"/>
    <xf numFmtId="0" fontId="2" fillId="0" borderId="0"/>
    <xf numFmtId="0" fontId="2" fillId="70" borderId="84" applyNumberFormat="0" applyFont="0" applyAlignment="0" applyProtection="0"/>
    <xf numFmtId="0" fontId="2" fillId="0" borderId="0"/>
    <xf numFmtId="0" fontId="2" fillId="70" borderId="84" applyNumberFormat="0" applyFont="0" applyAlignment="0" applyProtection="0"/>
    <xf numFmtId="0" fontId="2" fillId="0" borderId="0"/>
    <xf numFmtId="0" fontId="2" fillId="70" borderId="84" applyNumberFormat="0" applyFont="0" applyAlignment="0" applyProtection="0"/>
    <xf numFmtId="0" fontId="2" fillId="0" borderId="0"/>
    <xf numFmtId="0" fontId="166" fillId="0" borderId="0" applyNumberFormat="0" applyFill="0" applyBorder="0" applyAlignment="0" applyProtection="0"/>
    <xf numFmtId="0" fontId="167" fillId="66" borderId="0" applyNumberFormat="0" applyBorder="0" applyAlignment="0" applyProtection="0"/>
    <xf numFmtId="0" fontId="2" fillId="70" borderId="84" applyNumberFormat="0" applyFont="0" applyAlignment="0" applyProtection="0"/>
    <xf numFmtId="0" fontId="2" fillId="72" borderId="0" applyNumberFormat="0" applyBorder="0" applyAlignment="0" applyProtection="0"/>
    <xf numFmtId="0" fontId="2" fillId="73" borderId="0" applyNumberFormat="0" applyBorder="0" applyAlignment="0" applyProtection="0"/>
    <xf numFmtId="0" fontId="2" fillId="74" borderId="0" applyNumberFormat="0" applyBorder="0" applyAlignment="0" applyProtection="0"/>
    <xf numFmtId="0" fontId="2" fillId="76" borderId="0" applyNumberFormat="0" applyBorder="0" applyAlignment="0" applyProtection="0"/>
    <xf numFmtId="0" fontId="2" fillId="77" borderId="0" applyNumberFormat="0" applyBorder="0" applyAlignment="0" applyProtection="0"/>
    <xf numFmtId="0" fontId="2" fillId="78" borderId="0" applyNumberFormat="0" applyBorder="0" applyAlignment="0" applyProtection="0"/>
    <xf numFmtId="0" fontId="2" fillId="80" borderId="0" applyNumberFormat="0" applyBorder="0" applyAlignment="0" applyProtection="0"/>
    <xf numFmtId="0" fontId="2" fillId="81" borderId="0" applyNumberFormat="0" applyBorder="0" applyAlignment="0" applyProtection="0"/>
    <xf numFmtId="0" fontId="2" fillId="82" borderId="0" applyNumberFormat="0" applyBorder="0" applyAlignment="0" applyProtection="0"/>
    <xf numFmtId="0" fontId="2" fillId="84" borderId="0" applyNumberFormat="0" applyBorder="0" applyAlignment="0" applyProtection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88" borderId="0" applyNumberFormat="0" applyBorder="0" applyAlignment="0" applyProtection="0"/>
    <xf numFmtId="0" fontId="2" fillId="89" borderId="0" applyNumberFormat="0" applyBorder="0" applyAlignment="0" applyProtection="0"/>
    <xf numFmtId="0" fontId="2" fillId="90" borderId="0" applyNumberFormat="0" applyBorder="0" applyAlignment="0" applyProtection="0"/>
    <xf numFmtId="0" fontId="2" fillId="92" borderId="0" applyNumberFormat="0" applyBorder="0" applyAlignment="0" applyProtection="0"/>
    <xf numFmtId="0" fontId="2" fillId="93" borderId="0" applyNumberFormat="0" applyBorder="0" applyAlignment="0" applyProtection="0"/>
    <xf numFmtId="0" fontId="2" fillId="94" borderId="0" applyNumberFormat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69" fillId="0" borderId="0"/>
    <xf numFmtId="0" fontId="169" fillId="0" borderId="0"/>
    <xf numFmtId="0" fontId="169" fillId="0" borderId="0"/>
    <xf numFmtId="0" fontId="1" fillId="0" borderId="0"/>
    <xf numFmtId="0" fontId="1" fillId="0" borderId="0"/>
    <xf numFmtId="0" fontId="30" fillId="0" borderId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0" fillId="0" borderId="0"/>
    <xf numFmtId="0" fontId="30" fillId="0" borderId="0"/>
    <xf numFmtId="0" fontId="9" fillId="0" borderId="0"/>
    <xf numFmtId="0" fontId="9" fillId="0" borderId="0"/>
    <xf numFmtId="0" fontId="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9" fillId="0" borderId="0"/>
    <xf numFmtId="0" fontId="1" fillId="0" borderId="0"/>
    <xf numFmtId="0" fontId="1" fillId="0" borderId="0"/>
    <xf numFmtId="43" fontId="16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69" fillId="0" borderId="0"/>
    <xf numFmtId="0" fontId="1" fillId="0" borderId="0"/>
    <xf numFmtId="0" fontId="1" fillId="0" borderId="0"/>
    <xf numFmtId="0" fontId="169" fillId="0" borderId="0"/>
    <xf numFmtId="0" fontId="9" fillId="0" borderId="0"/>
    <xf numFmtId="9" fontId="9" fillId="0" borderId="0" applyFont="0" applyFill="0" applyBorder="0" applyAlignment="0" applyProtection="0"/>
    <xf numFmtId="0" fontId="1" fillId="0" borderId="0"/>
    <xf numFmtId="0" fontId="1" fillId="0" borderId="0"/>
    <xf numFmtId="0" fontId="170" fillId="0" borderId="0" applyNumberFormat="0" applyFill="0" applyBorder="0" applyAlignment="0" applyProtection="0">
      <alignment vertical="top"/>
      <protection locked="0"/>
    </xf>
    <xf numFmtId="43" fontId="16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" fillId="73" borderId="0" applyNumberFormat="0" applyBorder="0" applyAlignment="0" applyProtection="0"/>
    <xf numFmtId="0" fontId="1" fillId="77" borderId="0" applyNumberFormat="0" applyBorder="0" applyAlignment="0" applyProtection="0"/>
    <xf numFmtId="0" fontId="1" fillId="85" borderId="0" applyNumberFormat="0" applyBorder="0" applyAlignment="0" applyProtection="0"/>
    <xf numFmtId="0" fontId="1" fillId="88" borderId="0" applyNumberFormat="0" applyBorder="0" applyAlignment="0" applyProtection="0"/>
    <xf numFmtId="0" fontId="1" fillId="89" borderId="0" applyNumberFormat="0" applyBorder="0" applyAlignment="0" applyProtection="0"/>
    <xf numFmtId="0" fontId="1" fillId="92" borderId="0" applyNumberFormat="0" applyBorder="0" applyAlignment="0" applyProtection="0"/>
    <xf numFmtId="0" fontId="1" fillId="93" borderId="0" applyNumberFormat="0" applyBorder="0" applyAlignment="0" applyProtection="0"/>
    <xf numFmtId="0" fontId="1" fillId="72" borderId="0" applyNumberFormat="0" applyBorder="0" applyAlignment="0" applyProtection="0"/>
    <xf numFmtId="0" fontId="1" fillId="76" borderId="0" applyNumberFormat="0" applyBorder="0" applyAlignment="0" applyProtection="0"/>
    <xf numFmtId="0" fontId="1" fillId="80" borderId="0" applyNumberFormat="0" applyBorder="0" applyAlignment="0" applyProtection="0"/>
    <xf numFmtId="0" fontId="1" fillId="84" borderId="0" applyNumberFormat="0" applyBorder="0" applyAlignment="0" applyProtection="0"/>
    <xf numFmtId="0" fontId="1" fillId="81" borderId="0" applyNumberFormat="0" applyBorder="0" applyAlignment="0" applyProtection="0"/>
    <xf numFmtId="0" fontId="1" fillId="74" borderId="0" applyNumberFormat="0" applyBorder="0" applyAlignment="0" applyProtection="0"/>
    <xf numFmtId="0" fontId="1" fillId="78" borderId="0" applyNumberFormat="0" applyBorder="0" applyAlignment="0" applyProtection="0"/>
    <xf numFmtId="0" fontId="1" fillId="82" borderId="0" applyNumberFormat="0" applyBorder="0" applyAlignment="0" applyProtection="0"/>
    <xf numFmtId="0" fontId="1" fillId="86" borderId="0" applyNumberFormat="0" applyBorder="0" applyAlignment="0" applyProtection="0"/>
    <xf numFmtId="0" fontId="1" fillId="90" borderId="0" applyNumberFormat="0" applyBorder="0" applyAlignment="0" applyProtection="0"/>
    <xf numFmtId="0" fontId="1" fillId="94" borderId="0" applyNumberFormat="0" applyBorder="0" applyAlignment="0" applyProtection="0"/>
    <xf numFmtId="0" fontId="167" fillId="66" borderId="0" applyNumberFormat="0" applyBorder="0" applyAlignment="0" applyProtection="0"/>
    <xf numFmtId="0" fontId="1" fillId="0" borderId="0"/>
    <xf numFmtId="0" fontId="1" fillId="70" borderId="84" applyNumberFormat="0" applyFont="0" applyAlignment="0" applyProtection="0"/>
    <xf numFmtId="0" fontId="166" fillId="0" borderId="0" applyNumberFormat="0" applyFill="0" applyBorder="0" applyAlignment="0" applyProtection="0"/>
    <xf numFmtId="0" fontId="1" fillId="0" borderId="0"/>
  </cellStyleXfs>
  <cellXfs count="1545">
    <xf numFmtId="0" fontId="0" fillId="0" borderId="0" xfId="0"/>
    <xf numFmtId="0" fontId="9" fillId="0" borderId="0" xfId="27"/>
    <xf numFmtId="0" fontId="14" fillId="0" borderId="0" xfId="0" applyFont="1"/>
    <xf numFmtId="0" fontId="19" fillId="2" borderId="1" xfId="0" applyFont="1" applyFill="1" applyBorder="1" applyAlignment="1">
      <alignment horizontal="center" vertical="center" wrapText="1"/>
    </xf>
    <xf numFmtId="0" fontId="14" fillId="3" borderId="0" xfId="0" applyFont="1" applyFill="1"/>
    <xf numFmtId="0" fontId="10" fillId="2" borderId="0" xfId="0" applyFont="1" applyFill="1" applyAlignment="1">
      <alignment horizontal="center" vertical="center"/>
    </xf>
    <xf numFmtId="1" fontId="14" fillId="0" borderId="0" xfId="0" applyNumberFormat="1" applyFont="1"/>
    <xf numFmtId="1" fontId="9" fillId="0" borderId="0" xfId="27" applyNumberFormat="1"/>
    <xf numFmtId="0" fontId="14" fillId="4" borderId="0" xfId="0" applyFont="1" applyFill="1"/>
    <xf numFmtId="0" fontId="11" fillId="0" borderId="0" xfId="0" applyFont="1"/>
    <xf numFmtId="0" fontId="10" fillId="0" borderId="0" xfId="0" applyFont="1" applyAlignment="1">
      <alignment vertical="center" wrapText="1"/>
    </xf>
    <xf numFmtId="1" fontId="0" fillId="0" borderId="0" xfId="0" applyNumberFormat="1"/>
    <xf numFmtId="0" fontId="14" fillId="5" borderId="0" xfId="0" applyFont="1" applyFill="1"/>
    <xf numFmtId="0" fontId="35" fillId="3" borderId="0" xfId="0" applyFont="1" applyFill="1"/>
    <xf numFmtId="0" fontId="9" fillId="0" borderId="5" xfId="27" applyBorder="1"/>
    <xf numFmtId="1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4" fillId="6" borderId="0" xfId="0" applyFont="1" applyFill="1"/>
    <xf numFmtId="0" fontId="14" fillId="8" borderId="0" xfId="0" applyFont="1" applyFill="1"/>
    <xf numFmtId="1" fontId="12" fillId="0" borderId="5" xfId="0" applyNumberFormat="1" applyFont="1" applyBorder="1" applyAlignment="1">
      <alignment horizontal="center" vertical="center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165" fontId="11" fillId="0" borderId="7" xfId="0" applyNumberFormat="1" applyFont="1" applyBorder="1" applyAlignment="1">
      <alignment horizontal="center" vertical="center"/>
    </xf>
    <xf numFmtId="0" fontId="11" fillId="2" borderId="4" xfId="0" applyFont="1" applyFill="1" applyBorder="1" applyAlignment="1" applyProtection="1">
      <alignment horizontal="center" vertical="center"/>
      <protection locked="0"/>
    </xf>
    <xf numFmtId="165" fontId="11" fillId="2" borderId="7" xfId="0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" fontId="12" fillId="0" borderId="8" xfId="0" applyNumberFormat="1" applyFont="1" applyBorder="1" applyAlignment="1">
      <alignment horizontal="center" vertical="center"/>
    </xf>
    <xf numFmtId="165" fontId="11" fillId="2" borderId="9" xfId="0" applyNumberFormat="1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70" fontId="11" fillId="2" borderId="9" xfId="0" applyNumberFormat="1" applyFont="1" applyFill="1" applyBorder="1" applyAlignment="1" applyProtection="1">
      <alignment horizontal="center" vertical="center"/>
      <protection locked="0"/>
    </xf>
    <xf numFmtId="165" fontId="11" fillId="2" borderId="7" xfId="0" applyNumberFormat="1" applyFont="1" applyFill="1" applyBorder="1" applyAlignment="1" applyProtection="1">
      <alignment horizontal="center" vertical="center"/>
      <protection locked="0"/>
    </xf>
    <xf numFmtId="166" fontId="11" fillId="2" borderId="7" xfId="0" applyNumberFormat="1" applyFont="1" applyFill="1" applyBorder="1" applyAlignment="1" applyProtection="1">
      <alignment horizontal="center" vertical="center"/>
      <protection locked="0"/>
    </xf>
    <xf numFmtId="165" fontId="11" fillId="0" borderId="10" xfId="0" applyNumberFormat="1" applyFont="1" applyBorder="1" applyAlignment="1">
      <alignment horizontal="center" vertical="center"/>
    </xf>
    <xf numFmtId="0" fontId="39" fillId="0" borderId="11" xfId="28" applyFont="1" applyBorder="1" applyAlignment="1">
      <alignment vertical="center" wrapText="1"/>
    </xf>
    <xf numFmtId="0" fontId="39" fillId="0" borderId="12" xfId="28" applyFont="1" applyBorder="1" applyAlignment="1">
      <alignment vertical="center" wrapText="1"/>
    </xf>
    <xf numFmtId="0" fontId="39" fillId="0" borderId="13" xfId="28" applyFont="1" applyBorder="1" applyAlignment="1">
      <alignment vertical="center" wrapText="1"/>
    </xf>
    <xf numFmtId="0" fontId="9" fillId="0" borderId="14" xfId="27" applyBorder="1"/>
    <xf numFmtId="0" fontId="31" fillId="0" borderId="1" xfId="0" applyFont="1" applyBorder="1" applyAlignment="1">
      <alignment horizontal="center"/>
    </xf>
    <xf numFmtId="1" fontId="40" fillId="0" borderId="3" xfId="0" applyNumberFormat="1" applyFont="1" applyBorder="1" applyAlignment="1">
      <alignment horizontal="right" vertical="center"/>
    </xf>
    <xf numFmtId="1" fontId="31" fillId="0" borderId="3" xfId="0" applyNumberFormat="1" applyFont="1" applyBorder="1" applyAlignment="1">
      <alignment horizontal="right" vertical="center"/>
    </xf>
    <xf numFmtId="1" fontId="40" fillId="0" borderId="4" xfId="0" applyNumberFormat="1" applyFont="1" applyBorder="1" applyAlignment="1">
      <alignment horizontal="right" vertical="center"/>
    </xf>
    <xf numFmtId="0" fontId="13" fillId="2" borderId="3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center" vertical="center"/>
    </xf>
    <xf numFmtId="166" fontId="13" fillId="2" borderId="3" xfId="0" applyNumberFormat="1" applyFont="1" applyFill="1" applyBorder="1" applyAlignment="1">
      <alignment horizontal="center" vertical="center"/>
    </xf>
    <xf numFmtId="2" fontId="13" fillId="2" borderId="3" xfId="0" applyNumberFormat="1" applyFont="1" applyFill="1" applyBorder="1" applyAlignment="1">
      <alignment horizontal="right"/>
    </xf>
    <xf numFmtId="0" fontId="13" fillId="2" borderId="3" xfId="0" applyFont="1" applyFill="1" applyBorder="1" applyAlignment="1">
      <alignment horizontal="right"/>
    </xf>
    <xf numFmtId="0" fontId="13" fillId="0" borderId="3" xfId="0" applyFont="1" applyBorder="1" applyAlignment="1">
      <alignment horizontal="left" vertical="center"/>
    </xf>
    <xf numFmtId="165" fontId="17" fillId="0" borderId="3" xfId="10" applyNumberFormat="1" applyFont="1" applyBorder="1" applyAlignment="1">
      <alignment horizontal="right" wrapText="1"/>
    </xf>
    <xf numFmtId="2" fontId="17" fillId="0" borderId="3" xfId="10" applyNumberFormat="1" applyFont="1" applyBorder="1" applyAlignment="1">
      <alignment horizontal="right"/>
    </xf>
    <xf numFmtId="0" fontId="19" fillId="0" borderId="3" xfId="0" applyFont="1" applyBorder="1" applyAlignment="1">
      <alignment horizontal="left" vertical="center"/>
    </xf>
    <xf numFmtId="0" fontId="19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 applyProtection="1">
      <alignment horizontal="right"/>
      <protection locked="0"/>
    </xf>
    <xf numFmtId="0" fontId="19" fillId="2" borderId="3" xfId="0" applyFont="1" applyFill="1" applyBorder="1" applyAlignment="1">
      <alignment horizontal="right"/>
    </xf>
    <xf numFmtId="0" fontId="13" fillId="0" borderId="3" xfId="0" applyFont="1" applyBorder="1" applyAlignment="1">
      <alignment horizontal="center" vertical="center"/>
    </xf>
    <xf numFmtId="166" fontId="13" fillId="0" borderId="3" xfId="0" applyNumberFormat="1" applyFont="1" applyBorder="1" applyAlignment="1">
      <alignment horizontal="center" vertical="center"/>
    </xf>
    <xf numFmtId="165" fontId="17" fillId="2" borderId="3" xfId="10" applyNumberFormat="1" applyFont="1" applyFill="1" applyBorder="1" applyAlignment="1">
      <alignment horizontal="right" wrapText="1"/>
    </xf>
    <xf numFmtId="0" fontId="13" fillId="0" borderId="3" xfId="0" applyFont="1" applyBorder="1" applyAlignment="1">
      <alignment horizontal="right"/>
    </xf>
    <xf numFmtId="165" fontId="17" fillId="0" borderId="3" xfId="10" applyNumberFormat="1" applyFont="1" applyBorder="1" applyAlignment="1">
      <alignment horizontal="right"/>
    </xf>
    <xf numFmtId="0" fontId="19" fillId="2" borderId="3" xfId="0" applyFont="1" applyFill="1" applyBorder="1" applyAlignment="1">
      <alignment horizontal="left" vertical="center"/>
    </xf>
    <xf numFmtId="0" fontId="19" fillId="2" borderId="3" xfId="0" applyFont="1" applyFill="1" applyBorder="1" applyAlignment="1" applyProtection="1">
      <alignment horizontal="right"/>
      <protection locked="0"/>
    </xf>
    <xf numFmtId="0" fontId="19" fillId="8" borderId="3" xfId="0" applyFont="1" applyFill="1" applyBorder="1" applyAlignment="1">
      <alignment horizontal="left" vertical="center"/>
    </xf>
    <xf numFmtId="0" fontId="19" fillId="8" borderId="3" xfId="0" applyFont="1" applyFill="1" applyBorder="1" applyAlignment="1">
      <alignment horizontal="center" vertical="center"/>
    </xf>
    <xf numFmtId="166" fontId="13" fillId="8" borderId="3" xfId="0" applyNumberFormat="1" applyFont="1" applyFill="1" applyBorder="1" applyAlignment="1">
      <alignment horizontal="center" vertical="center"/>
    </xf>
    <xf numFmtId="0" fontId="19" fillId="8" borderId="3" xfId="0" applyFont="1" applyFill="1" applyBorder="1" applyAlignment="1" applyProtection="1">
      <alignment horizontal="right"/>
      <protection locked="0"/>
    </xf>
    <xf numFmtId="0" fontId="19" fillId="8" borderId="3" xfId="0" applyFont="1" applyFill="1" applyBorder="1" applyAlignment="1">
      <alignment horizontal="right"/>
    </xf>
    <xf numFmtId="0" fontId="13" fillId="8" borderId="3" xfId="0" applyFont="1" applyFill="1" applyBorder="1" applyAlignment="1">
      <alignment horizontal="right"/>
    </xf>
    <xf numFmtId="0" fontId="36" fillId="2" borderId="3" xfId="0" applyFont="1" applyFill="1" applyBorder="1" applyAlignment="1">
      <alignment horizontal="left" vertical="center"/>
    </xf>
    <xf numFmtId="0" fontId="13" fillId="0" borderId="3" xfId="0" applyFont="1" applyBorder="1" applyAlignment="1" applyProtection="1">
      <alignment horizontal="right"/>
      <protection locked="0"/>
    </xf>
    <xf numFmtId="0" fontId="37" fillId="2" borderId="3" xfId="0" applyFont="1" applyFill="1" applyBorder="1" applyAlignment="1">
      <alignment horizontal="left" vertical="center"/>
    </xf>
    <xf numFmtId="0" fontId="13" fillId="2" borderId="3" xfId="0" applyFont="1" applyFill="1" applyBorder="1" applyAlignment="1" applyProtection="1">
      <alignment horizontal="right"/>
      <protection locked="0"/>
    </xf>
    <xf numFmtId="0" fontId="19" fillId="3" borderId="3" xfId="0" applyFont="1" applyFill="1" applyBorder="1" applyAlignment="1">
      <alignment vertical="center"/>
    </xf>
    <xf numFmtId="0" fontId="34" fillId="3" borderId="3" xfId="0" applyFont="1" applyFill="1" applyBorder="1" applyAlignment="1">
      <alignment horizontal="center" vertical="center"/>
    </xf>
    <xf numFmtId="166" fontId="33" fillId="3" borderId="3" xfId="0" applyNumberFormat="1" applyFont="1" applyFill="1" applyBorder="1" applyAlignment="1">
      <alignment horizontal="center" vertical="center"/>
    </xf>
    <xf numFmtId="0" fontId="34" fillId="3" borderId="3" xfId="0" applyFont="1" applyFill="1" applyBorder="1" applyAlignment="1" applyProtection="1">
      <alignment horizontal="right"/>
      <protection locked="0"/>
    </xf>
    <xf numFmtId="0" fontId="34" fillId="3" borderId="3" xfId="0" applyFont="1" applyFill="1" applyBorder="1" applyAlignment="1">
      <alignment horizontal="right"/>
    </xf>
    <xf numFmtId="0" fontId="33" fillId="3" borderId="3" xfId="0" applyFont="1" applyFill="1" applyBorder="1" applyAlignment="1">
      <alignment horizontal="right"/>
    </xf>
    <xf numFmtId="0" fontId="36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166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 applyProtection="1">
      <alignment horizontal="right"/>
      <protection locked="0"/>
    </xf>
    <xf numFmtId="0" fontId="11" fillId="0" borderId="3" xfId="0" applyFont="1" applyBorder="1" applyAlignment="1">
      <alignment horizontal="right"/>
    </xf>
    <xf numFmtId="2" fontId="11" fillId="0" borderId="3" xfId="0" applyNumberFormat="1" applyFont="1" applyBorder="1" applyAlignment="1">
      <alignment horizontal="right"/>
    </xf>
    <xf numFmtId="1" fontId="11" fillId="0" borderId="3" xfId="0" applyNumberFormat="1" applyFont="1" applyBorder="1" applyAlignment="1">
      <alignment horizontal="right"/>
    </xf>
    <xf numFmtId="0" fontId="37" fillId="2" borderId="3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center" vertical="center"/>
    </xf>
    <xf numFmtId="166" fontId="11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right"/>
    </xf>
    <xf numFmtId="0" fontId="19" fillId="2" borderId="3" xfId="0" applyFont="1" applyFill="1" applyBorder="1" applyAlignment="1">
      <alignment vertical="center"/>
    </xf>
    <xf numFmtId="166" fontId="11" fillId="3" borderId="3" xfId="0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right"/>
    </xf>
    <xf numFmtId="1" fontId="19" fillId="3" borderId="3" xfId="0" applyNumberFormat="1" applyFont="1" applyFill="1" applyBorder="1" applyAlignment="1">
      <alignment horizontal="right"/>
    </xf>
    <xf numFmtId="0" fontId="11" fillId="0" borderId="3" xfId="0" applyFont="1" applyBorder="1" applyAlignment="1">
      <alignment vertical="center"/>
    </xf>
    <xf numFmtId="167" fontId="19" fillId="3" borderId="3" xfId="0" applyNumberFormat="1" applyFont="1" applyFill="1" applyBorder="1" applyAlignment="1" applyProtection="1">
      <alignment horizontal="right"/>
      <protection locked="0"/>
    </xf>
    <xf numFmtId="165" fontId="11" fillId="2" borderId="3" xfId="0" applyNumberFormat="1" applyFont="1" applyFill="1" applyBorder="1" applyAlignment="1" applyProtection="1">
      <alignment horizontal="right"/>
      <protection locked="0"/>
    </xf>
    <xf numFmtId="1" fontId="11" fillId="0" borderId="3" xfId="0" applyNumberFormat="1" applyFont="1" applyBorder="1" applyAlignment="1">
      <alignment horizontal="center" vertical="center"/>
    </xf>
    <xf numFmtId="165" fontId="11" fillId="0" borderId="3" xfId="0" applyNumberFormat="1" applyFont="1" applyBorder="1" applyAlignment="1">
      <alignment horizontal="right"/>
    </xf>
    <xf numFmtId="2" fontId="13" fillId="2" borderId="3" xfId="0" applyNumberFormat="1" applyFont="1" applyFill="1" applyBorder="1" applyAlignment="1" applyProtection="1">
      <alignment horizontal="right"/>
      <protection locked="0"/>
    </xf>
    <xf numFmtId="0" fontId="2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vertical="center"/>
    </xf>
    <xf numFmtId="0" fontId="36" fillId="2" borderId="3" xfId="0" applyFont="1" applyFill="1" applyBorder="1" applyAlignment="1">
      <alignment vertical="center"/>
    </xf>
    <xf numFmtId="0" fontId="19" fillId="0" borderId="3" xfId="0" applyFont="1" applyBorder="1" applyAlignment="1">
      <alignment vertical="center"/>
    </xf>
    <xf numFmtId="0" fontId="19" fillId="0" borderId="3" xfId="0" applyFont="1" applyBorder="1" applyAlignment="1">
      <alignment horizontal="center" vertical="center"/>
    </xf>
    <xf numFmtId="0" fontId="19" fillId="0" borderId="3" xfId="0" applyFont="1" applyBorder="1" applyAlignment="1" applyProtection="1">
      <alignment horizontal="right"/>
      <protection locked="0"/>
    </xf>
    <xf numFmtId="0" fontId="22" fillId="3" borderId="3" xfId="20" applyFont="1" applyFill="1" applyBorder="1" applyAlignment="1">
      <alignment horizontal="left" vertical="center"/>
    </xf>
    <xf numFmtId="0" fontId="16" fillId="0" borderId="3" xfId="20" applyFont="1" applyBorder="1" applyAlignment="1">
      <alignment vertical="center"/>
    </xf>
    <xf numFmtId="0" fontId="16" fillId="2" borderId="3" xfId="20" applyFont="1" applyFill="1" applyBorder="1" applyAlignment="1">
      <alignment vertical="center"/>
    </xf>
    <xf numFmtId="0" fontId="22" fillId="2" borderId="3" xfId="20" applyFont="1" applyFill="1" applyBorder="1" applyAlignment="1">
      <alignment vertical="center"/>
    </xf>
    <xf numFmtId="0" fontId="11" fillId="0" borderId="3" xfId="20" applyFont="1" applyBorder="1" applyAlignment="1">
      <alignment vertical="center"/>
    </xf>
    <xf numFmtId="0" fontId="11" fillId="8" borderId="3" xfId="0" applyFont="1" applyFill="1" applyBorder="1" applyAlignment="1">
      <alignment horizontal="center" vertical="center"/>
    </xf>
    <xf numFmtId="166" fontId="11" fillId="8" borderId="3" xfId="0" applyNumberFormat="1" applyFont="1" applyFill="1" applyBorder="1" applyAlignment="1">
      <alignment horizontal="center" vertical="center"/>
    </xf>
    <xf numFmtId="0" fontId="11" fillId="8" borderId="3" xfId="0" applyFont="1" applyFill="1" applyBorder="1" applyAlignment="1" applyProtection="1">
      <alignment horizontal="right"/>
      <protection locked="0"/>
    </xf>
    <xf numFmtId="0" fontId="11" fillId="8" borderId="3" xfId="0" applyFont="1" applyFill="1" applyBorder="1" applyAlignment="1">
      <alignment horizontal="right"/>
    </xf>
    <xf numFmtId="0" fontId="19" fillId="9" borderId="3" xfId="0" applyFont="1" applyFill="1" applyBorder="1" applyAlignment="1">
      <alignment vertical="center"/>
    </xf>
    <xf numFmtId="0" fontId="19" fillId="9" borderId="3" xfId="0" applyFont="1" applyFill="1" applyBorder="1" applyAlignment="1">
      <alignment horizontal="center" vertical="center"/>
    </xf>
    <xf numFmtId="166" fontId="13" fillId="9" borderId="3" xfId="0" applyNumberFormat="1" applyFont="1" applyFill="1" applyBorder="1" applyAlignment="1">
      <alignment horizontal="center" vertical="center"/>
    </xf>
    <xf numFmtId="0" fontId="19" fillId="9" borderId="3" xfId="0" applyFont="1" applyFill="1" applyBorder="1" applyAlignment="1" applyProtection="1">
      <alignment horizontal="right"/>
      <protection locked="0"/>
    </xf>
    <xf numFmtId="0" fontId="19" fillId="9" borderId="3" xfId="0" applyFont="1" applyFill="1" applyBorder="1" applyAlignment="1">
      <alignment horizontal="right"/>
    </xf>
    <xf numFmtId="0" fontId="13" fillId="9" borderId="3" xfId="0" applyFont="1" applyFill="1" applyBorder="1" applyAlignment="1">
      <alignment horizontal="right"/>
    </xf>
    <xf numFmtId="0" fontId="13" fillId="2" borderId="3" xfId="0" applyFont="1" applyFill="1" applyBorder="1" applyAlignment="1">
      <alignment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 applyProtection="1">
      <alignment horizontal="right"/>
      <protection locked="0"/>
    </xf>
    <xf numFmtId="0" fontId="11" fillId="2" borderId="3" xfId="0" applyFont="1" applyFill="1" applyBorder="1" applyAlignment="1">
      <alignment horizontal="left" vertical="center"/>
    </xf>
    <xf numFmtId="0" fontId="34" fillId="3" borderId="3" xfId="0" applyFont="1" applyFill="1" applyBorder="1" applyAlignment="1">
      <alignment vertical="center"/>
    </xf>
    <xf numFmtId="1" fontId="13" fillId="0" borderId="3" xfId="0" applyNumberFormat="1" applyFont="1" applyBorder="1" applyAlignment="1" applyProtection="1">
      <alignment horizontal="center" vertical="center"/>
      <protection locked="0"/>
    </xf>
    <xf numFmtId="167" fontId="13" fillId="2" borderId="3" xfId="0" applyNumberFormat="1" applyFont="1" applyFill="1" applyBorder="1" applyAlignment="1" applyProtection="1">
      <alignment horizontal="right"/>
      <protection locked="0"/>
    </xf>
    <xf numFmtId="165" fontId="13" fillId="2" borderId="3" xfId="0" applyNumberFormat="1" applyFont="1" applyFill="1" applyBorder="1" applyAlignment="1" applyProtection="1">
      <alignment horizontal="right"/>
      <protection locked="0"/>
    </xf>
    <xf numFmtId="0" fontId="14" fillId="0" borderId="3" xfId="0" applyFont="1" applyBorder="1" applyAlignment="1">
      <alignment horizontal="right"/>
    </xf>
    <xf numFmtId="0" fontId="13" fillId="0" borderId="3" xfId="24" applyFont="1" applyBorder="1" applyAlignment="1">
      <alignment horizontal="left" vertical="center" wrapText="1"/>
    </xf>
    <xf numFmtId="2" fontId="13" fillId="3" borderId="3" xfId="0" applyNumberFormat="1" applyFont="1" applyFill="1" applyBorder="1" applyAlignment="1" applyProtection="1">
      <alignment horizontal="right"/>
      <protection locked="0"/>
    </xf>
    <xf numFmtId="0" fontId="11" fillId="0" borderId="3" xfId="24" applyFont="1" applyBorder="1" applyAlignment="1">
      <alignment horizontal="left" vertical="center" wrapText="1"/>
    </xf>
    <xf numFmtId="166" fontId="13" fillId="0" borderId="3" xfId="0" applyNumberFormat="1" applyFont="1" applyBorder="1" applyAlignment="1">
      <alignment horizontal="right"/>
    </xf>
    <xf numFmtId="0" fontId="13" fillId="9" borderId="3" xfId="0" applyFont="1" applyFill="1" applyBorder="1" applyAlignment="1">
      <alignment horizontal="center" vertical="center"/>
    </xf>
    <xf numFmtId="0" fontId="13" fillId="9" borderId="3" xfId="0" applyFont="1" applyFill="1" applyBorder="1" applyAlignment="1" applyProtection="1">
      <alignment horizontal="right"/>
      <protection locked="0"/>
    </xf>
    <xf numFmtId="166" fontId="13" fillId="2" borderId="3" xfId="0" applyNumberFormat="1" applyFont="1" applyFill="1" applyBorder="1" applyAlignment="1" applyProtection="1">
      <alignment horizontal="right"/>
      <protection locked="0"/>
    </xf>
    <xf numFmtId="0" fontId="11" fillId="0" borderId="3" xfId="25" applyFont="1" applyBorder="1" applyAlignment="1">
      <alignment horizontal="left" vertical="center"/>
    </xf>
    <xf numFmtId="2" fontId="13" fillId="2" borderId="3" xfId="0" applyNumberFormat="1" applyFont="1" applyFill="1" applyBorder="1" applyAlignment="1">
      <alignment horizontal="center" vertical="center"/>
    </xf>
    <xf numFmtId="0" fontId="19" fillId="3" borderId="3" xfId="25" applyFont="1" applyFill="1" applyBorder="1" applyAlignment="1">
      <alignment horizontal="left" vertical="center"/>
    </xf>
    <xf numFmtId="0" fontId="13" fillId="0" borderId="3" xfId="25" applyFont="1" applyBorder="1" applyAlignment="1">
      <alignment horizontal="left" vertical="center"/>
    </xf>
    <xf numFmtId="0" fontId="11" fillId="0" borderId="3" xfId="0" applyFont="1" applyBorder="1" applyAlignment="1" applyProtection="1">
      <alignment horizontal="center" vertical="center"/>
      <protection locked="0"/>
    </xf>
    <xf numFmtId="0" fontId="19" fillId="8" borderId="3" xfId="25" applyFont="1" applyFill="1" applyBorder="1" applyAlignment="1">
      <alignment horizontal="left" vertical="center"/>
    </xf>
    <xf numFmtId="0" fontId="48" fillId="2" borderId="3" xfId="0" applyFont="1" applyFill="1" applyBorder="1" applyAlignment="1" applyProtection="1">
      <alignment horizontal="right"/>
      <protection locked="0"/>
    </xf>
    <xf numFmtId="1" fontId="13" fillId="9" borderId="3" xfId="0" applyNumberFormat="1" applyFont="1" applyFill="1" applyBorder="1" applyAlignment="1">
      <alignment horizontal="center" vertical="center"/>
    </xf>
    <xf numFmtId="0" fontId="17" fillId="0" borderId="3" xfId="4" applyFont="1" applyBorder="1" applyAlignment="1">
      <alignment horizontal="right"/>
    </xf>
    <xf numFmtId="0" fontId="23" fillId="2" borderId="3" xfId="0" applyFont="1" applyFill="1" applyBorder="1" applyAlignment="1">
      <alignment horizontal="center" vertical="center"/>
    </xf>
    <xf numFmtId="0" fontId="49" fillId="3" borderId="3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right"/>
    </xf>
    <xf numFmtId="0" fontId="13" fillId="2" borderId="3" xfId="0" quotePrefix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3" fillId="0" borderId="3" xfId="0" quotePrefix="1" applyFont="1" applyBorder="1" applyAlignment="1">
      <alignment horizontal="center" vertical="center"/>
    </xf>
    <xf numFmtId="0" fontId="19" fillId="3" borderId="3" xfId="17" applyFont="1" applyFill="1" applyBorder="1" applyAlignment="1">
      <alignment horizontal="left" vertical="center"/>
    </xf>
    <xf numFmtId="0" fontId="37" fillId="9" borderId="3" xfId="0" applyFont="1" applyFill="1" applyBorder="1" applyAlignment="1">
      <alignment horizontal="left" vertical="center"/>
    </xf>
    <xf numFmtId="166" fontId="13" fillId="2" borderId="3" xfId="0" applyNumberFormat="1" applyFont="1" applyFill="1" applyBorder="1" applyAlignment="1">
      <alignment horizontal="right"/>
    </xf>
    <xf numFmtId="169" fontId="13" fillId="2" borderId="3" xfId="0" applyNumberFormat="1" applyFont="1" applyFill="1" applyBorder="1" applyAlignment="1">
      <alignment horizontal="right"/>
    </xf>
    <xf numFmtId="0" fontId="19" fillId="9" borderId="3" xfId="0" applyFont="1" applyFill="1" applyBorder="1" applyAlignment="1">
      <alignment horizontal="left" vertical="center"/>
    </xf>
    <xf numFmtId="0" fontId="13" fillId="3" borderId="3" xfId="0" quotePrefix="1" applyFont="1" applyFill="1" applyBorder="1" applyAlignment="1">
      <alignment horizontal="center" vertical="center"/>
    </xf>
    <xf numFmtId="0" fontId="13" fillId="0" borderId="3" xfId="7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50" fillId="3" borderId="3" xfId="0" applyFont="1" applyFill="1" applyBorder="1" applyAlignment="1">
      <alignment horizontal="left" vertical="center"/>
    </xf>
    <xf numFmtId="0" fontId="36" fillId="0" borderId="3" xfId="0" applyFont="1" applyBorder="1" applyAlignment="1">
      <alignment horizontal="left" vertical="center"/>
    </xf>
    <xf numFmtId="165" fontId="13" fillId="0" borderId="3" xfId="0" applyNumberFormat="1" applyFont="1" applyBorder="1" applyAlignment="1">
      <alignment horizontal="right"/>
    </xf>
    <xf numFmtId="2" fontId="11" fillId="2" borderId="3" xfId="0" applyNumberFormat="1" applyFont="1" applyFill="1" applyBorder="1" applyAlignment="1" applyProtection="1">
      <alignment horizontal="right"/>
      <protection locked="0"/>
    </xf>
    <xf numFmtId="0" fontId="37" fillId="0" borderId="3" xfId="0" applyFont="1" applyBorder="1" applyAlignment="1">
      <alignment horizontal="left" vertical="center" shrinkToFit="1"/>
    </xf>
    <xf numFmtId="0" fontId="34" fillId="3" borderId="3" xfId="0" applyFont="1" applyFill="1" applyBorder="1" applyAlignment="1">
      <alignment horizontal="left" vertical="center"/>
    </xf>
    <xf numFmtId="165" fontId="13" fillId="2" borderId="3" xfId="0" applyNumberFormat="1" applyFont="1" applyFill="1" applyBorder="1" applyAlignment="1">
      <alignment horizontal="center" vertical="center"/>
    </xf>
    <xf numFmtId="0" fontId="24" fillId="3" borderId="3" xfId="11" applyFont="1" applyFill="1" applyBorder="1" applyAlignment="1">
      <alignment horizontal="left" vertical="center"/>
    </xf>
    <xf numFmtId="0" fontId="17" fillId="0" borderId="3" xfId="11" applyFont="1" applyBorder="1" applyAlignment="1">
      <alignment horizontal="left" vertical="center" wrapText="1"/>
    </xf>
    <xf numFmtId="0" fontId="17" fillId="0" borderId="3" xfId="11" applyFont="1" applyBorder="1" applyAlignment="1">
      <alignment horizontal="left" vertical="center"/>
    </xf>
    <xf numFmtId="2" fontId="11" fillId="2" borderId="3" xfId="0" applyNumberFormat="1" applyFont="1" applyFill="1" applyBorder="1" applyAlignment="1">
      <alignment horizontal="right"/>
    </xf>
    <xf numFmtId="0" fontId="28" fillId="0" borderId="3" xfId="11" applyFont="1" applyBorder="1" applyAlignment="1">
      <alignment horizontal="left" vertical="center"/>
    </xf>
    <xf numFmtId="166" fontId="27" fillId="0" borderId="3" xfId="0" applyNumberFormat="1" applyFont="1" applyBorder="1" applyAlignment="1">
      <alignment horizontal="center" vertical="center"/>
    </xf>
    <xf numFmtId="0" fontId="24" fillId="0" borderId="3" xfId="11" applyFont="1" applyBorder="1" applyAlignment="1">
      <alignment horizontal="left" vertical="center"/>
    </xf>
    <xf numFmtId="2" fontId="11" fillId="0" borderId="3" xfId="0" applyNumberFormat="1" applyFont="1" applyBorder="1" applyAlignment="1">
      <alignment horizontal="center" vertical="center"/>
    </xf>
    <xf numFmtId="0" fontId="13" fillId="2" borderId="3" xfId="0" applyFont="1" applyFill="1" applyBorder="1" applyAlignment="1">
      <alignment horizontal="left" vertical="center" shrinkToFit="1"/>
    </xf>
    <xf numFmtId="0" fontId="19" fillId="2" borderId="3" xfId="0" applyFont="1" applyFill="1" applyBorder="1" applyAlignment="1">
      <alignment horizontal="left" vertical="center" shrinkToFit="1"/>
    </xf>
    <xf numFmtId="0" fontId="23" fillId="3" borderId="3" xfId="0" applyFont="1" applyFill="1" applyBorder="1" applyAlignment="1">
      <alignment horizontal="center" vertical="center"/>
    </xf>
    <xf numFmtId="0" fontId="19" fillId="3" borderId="3" xfId="5" applyFont="1" applyFill="1" applyBorder="1" applyAlignment="1">
      <alignment horizontal="left" vertical="center"/>
    </xf>
    <xf numFmtId="0" fontId="13" fillId="0" borderId="3" xfId="8" applyFont="1" applyBorder="1" applyAlignment="1">
      <alignment horizontal="left" vertical="center" shrinkToFit="1"/>
    </xf>
    <xf numFmtId="0" fontId="19" fillId="3" borderId="3" xfId="8" applyFont="1" applyFill="1" applyBorder="1" applyAlignment="1">
      <alignment horizontal="left" vertical="center" shrinkToFit="1"/>
    </xf>
    <xf numFmtId="170" fontId="13" fillId="2" borderId="3" xfId="0" applyNumberFormat="1" applyFont="1" applyFill="1" applyBorder="1" applyAlignment="1">
      <alignment horizontal="center" vertical="center"/>
    </xf>
    <xf numFmtId="0" fontId="37" fillId="2" borderId="3" xfId="0" applyFont="1" applyFill="1" applyBorder="1" applyAlignment="1">
      <alignment horizontal="left" vertical="center" shrinkToFit="1"/>
    </xf>
    <xf numFmtId="0" fontId="36" fillId="0" borderId="3" xfId="0" applyFont="1" applyBorder="1" applyAlignment="1">
      <alignment horizontal="center" vertical="center"/>
    </xf>
    <xf numFmtId="166" fontId="36" fillId="0" borderId="3" xfId="0" applyNumberFormat="1" applyFont="1" applyBorder="1" applyAlignment="1">
      <alignment horizontal="center" vertical="center"/>
    </xf>
    <xf numFmtId="0" fontId="13" fillId="0" borderId="3" xfId="13" applyFont="1" applyBorder="1" applyAlignment="1">
      <alignment horizontal="left" vertical="center" shrinkToFit="1"/>
    </xf>
    <xf numFmtId="0" fontId="19" fillId="3" borderId="3" xfId="13" applyFont="1" applyFill="1" applyBorder="1" applyAlignment="1">
      <alignment horizontal="left" vertical="center"/>
    </xf>
    <xf numFmtId="0" fontId="11" fillId="0" borderId="3" xfId="13" applyFont="1" applyBorder="1" applyAlignment="1">
      <alignment horizontal="left" vertical="center"/>
    </xf>
    <xf numFmtId="166" fontId="13" fillId="0" borderId="3" xfId="0" applyNumberFormat="1" applyFont="1" applyBorder="1" applyAlignment="1" applyProtection="1">
      <alignment horizontal="right"/>
      <protection locked="0"/>
    </xf>
    <xf numFmtId="166" fontId="11" fillId="0" borderId="3" xfId="0" applyNumberFormat="1" applyFont="1" applyBorder="1" applyAlignment="1">
      <alignment horizontal="right"/>
    </xf>
    <xf numFmtId="0" fontId="19" fillId="8" borderId="3" xfId="13" applyFont="1" applyFill="1" applyBorder="1" applyAlignment="1">
      <alignment horizontal="left" vertical="center"/>
    </xf>
    <xf numFmtId="0" fontId="13" fillId="8" borderId="3" xfId="0" applyFont="1" applyFill="1" applyBorder="1" applyAlignment="1">
      <alignment horizontal="center" vertical="center"/>
    </xf>
    <xf numFmtId="0" fontId="13" fillId="8" borderId="3" xfId="0" applyFont="1" applyFill="1" applyBorder="1" applyAlignment="1" applyProtection="1">
      <alignment horizontal="right"/>
      <protection locked="0"/>
    </xf>
    <xf numFmtId="0" fontId="19" fillId="9" borderId="3" xfId="0" applyFont="1" applyFill="1" applyBorder="1" applyAlignment="1">
      <alignment horizontal="left"/>
    </xf>
    <xf numFmtId="0" fontId="19" fillId="9" borderId="3" xfId="0" applyFont="1" applyFill="1" applyBorder="1"/>
    <xf numFmtId="0" fontId="13" fillId="9" borderId="3" xfId="0" applyFont="1" applyFill="1" applyBorder="1"/>
    <xf numFmtId="1" fontId="13" fillId="2" borderId="20" xfId="0" applyNumberFormat="1" applyFont="1" applyFill="1" applyBorder="1" applyAlignment="1">
      <alignment horizontal="right"/>
    </xf>
    <xf numFmtId="1" fontId="19" fillId="2" borderId="20" xfId="0" applyNumberFormat="1" applyFont="1" applyFill="1" applyBorder="1" applyAlignment="1">
      <alignment horizontal="right"/>
    </xf>
    <xf numFmtId="1" fontId="13" fillId="0" borderId="20" xfId="0" applyNumberFormat="1" applyFont="1" applyBorder="1" applyAlignment="1">
      <alignment horizontal="right"/>
    </xf>
    <xf numFmtId="1" fontId="19" fillId="8" borderId="20" xfId="0" applyNumberFormat="1" applyFont="1" applyFill="1" applyBorder="1" applyAlignment="1">
      <alignment horizontal="right"/>
    </xf>
    <xf numFmtId="1" fontId="11" fillId="0" borderId="20" xfId="0" applyNumberFormat="1" applyFont="1" applyBorder="1" applyAlignment="1">
      <alignment horizontal="right"/>
    </xf>
    <xf numFmtId="0" fontId="19" fillId="2" borderId="20" xfId="0" applyFont="1" applyFill="1" applyBorder="1" applyAlignment="1">
      <alignment horizontal="right"/>
    </xf>
    <xf numFmtId="1" fontId="11" fillId="2" borderId="20" xfId="0" applyNumberFormat="1" applyFont="1" applyFill="1" applyBorder="1" applyAlignment="1">
      <alignment horizontal="right"/>
    </xf>
    <xf numFmtId="0" fontId="11" fillId="0" borderId="20" xfId="0" applyFont="1" applyBorder="1" applyAlignment="1">
      <alignment horizontal="right"/>
    </xf>
    <xf numFmtId="1" fontId="19" fillId="0" borderId="20" xfId="0" applyNumberFormat="1" applyFont="1" applyBorder="1" applyAlignment="1">
      <alignment horizontal="right"/>
    </xf>
    <xf numFmtId="1" fontId="10" fillId="9" borderId="20" xfId="0" applyNumberFormat="1" applyFont="1" applyFill="1" applyBorder="1" applyAlignment="1">
      <alignment horizontal="right"/>
    </xf>
    <xf numFmtId="0" fontId="19" fillId="3" borderId="20" xfId="0" applyFont="1" applyFill="1" applyBorder="1" applyAlignment="1">
      <alignment horizontal="right"/>
    </xf>
    <xf numFmtId="0" fontId="19" fillId="0" borderId="20" xfId="0" applyFont="1" applyBorder="1" applyAlignment="1">
      <alignment horizontal="right"/>
    </xf>
    <xf numFmtId="0" fontId="11" fillId="2" borderId="20" xfId="0" applyFont="1" applyFill="1" applyBorder="1" applyAlignment="1">
      <alignment horizontal="right"/>
    </xf>
    <xf numFmtId="0" fontId="11" fillId="2" borderId="3" xfId="0" applyFont="1" applyFill="1" applyBorder="1" applyAlignment="1" applyProtection="1">
      <alignment vertical="center"/>
      <protection locked="0"/>
    </xf>
    <xf numFmtId="165" fontId="11" fillId="0" borderId="3" xfId="0" applyNumberFormat="1" applyFont="1" applyBorder="1" applyAlignment="1">
      <alignment vertical="center"/>
    </xf>
    <xf numFmtId="0" fontId="14" fillId="0" borderId="3" xfId="0" applyFont="1" applyBorder="1"/>
    <xf numFmtId="170" fontId="11" fillId="2" borderId="3" xfId="0" applyNumberFormat="1" applyFont="1" applyFill="1" applyBorder="1" applyAlignment="1" applyProtection="1">
      <alignment vertical="center"/>
      <protection locked="0"/>
    </xf>
    <xf numFmtId="1" fontId="14" fillId="0" borderId="3" xfId="0" applyNumberFormat="1" applyFont="1" applyBorder="1"/>
    <xf numFmtId="166" fontId="11" fillId="2" borderId="3" xfId="0" applyNumberFormat="1" applyFont="1" applyFill="1" applyBorder="1" applyAlignment="1" applyProtection="1">
      <alignment vertical="center"/>
      <protection locked="0"/>
    </xf>
    <xf numFmtId="0" fontId="14" fillId="0" borderId="19" xfId="0" applyFont="1" applyBorder="1"/>
    <xf numFmtId="0" fontId="13" fillId="2" borderId="4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center" vertical="center"/>
    </xf>
    <xf numFmtId="166" fontId="13" fillId="2" borderId="4" xfId="0" applyNumberFormat="1" applyFont="1" applyFill="1" applyBorder="1" applyAlignment="1">
      <alignment horizontal="center" vertical="center"/>
    </xf>
    <xf numFmtId="2" fontId="13" fillId="2" borderId="4" xfId="0" applyNumberFormat="1" applyFont="1" applyFill="1" applyBorder="1" applyAlignment="1">
      <alignment horizontal="right"/>
    </xf>
    <xf numFmtId="0" fontId="13" fillId="2" borderId="4" xfId="0" applyFont="1" applyFill="1" applyBorder="1" applyAlignment="1">
      <alignment horizontal="right"/>
    </xf>
    <xf numFmtId="1" fontId="13" fillId="2" borderId="22" xfId="0" applyNumberFormat="1" applyFont="1" applyFill="1" applyBorder="1" applyAlignment="1">
      <alignment horizontal="right"/>
    </xf>
    <xf numFmtId="0" fontId="10" fillId="2" borderId="23" xfId="0" applyFont="1" applyFill="1" applyBorder="1" applyAlignment="1">
      <alignment vertical="center"/>
    </xf>
    <xf numFmtId="0" fontId="10" fillId="2" borderId="23" xfId="0" applyFont="1" applyFill="1" applyBorder="1" applyAlignment="1">
      <alignment horizontal="center" vertical="center"/>
    </xf>
    <xf numFmtId="17" fontId="10" fillId="2" borderId="23" xfId="0" applyNumberFormat="1" applyFont="1" applyFill="1" applyBorder="1" applyAlignment="1" applyProtection="1">
      <alignment vertical="center"/>
      <protection locked="0"/>
    </xf>
    <xf numFmtId="0" fontId="19" fillId="8" borderId="3" xfId="0" applyFont="1" applyFill="1" applyBorder="1" applyAlignment="1">
      <alignment vertical="center"/>
    </xf>
    <xf numFmtId="0" fontId="18" fillId="4" borderId="9" xfId="0" applyFont="1" applyFill="1" applyBorder="1" applyAlignment="1">
      <alignment horizontal="center"/>
    </xf>
    <xf numFmtId="0" fontId="25" fillId="4" borderId="9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1" fontId="10" fillId="0" borderId="0" xfId="0" applyNumberFormat="1" applyFont="1"/>
    <xf numFmtId="0" fontId="14" fillId="0" borderId="4" xfId="0" applyFont="1" applyBorder="1"/>
    <xf numFmtId="0" fontId="14" fillId="0" borderId="15" xfId="0" applyFont="1" applyBorder="1"/>
    <xf numFmtId="0" fontId="14" fillId="0" borderId="17" xfId="0" applyFont="1" applyBorder="1"/>
    <xf numFmtId="166" fontId="14" fillId="0" borderId="17" xfId="0" applyNumberFormat="1" applyFont="1" applyBorder="1"/>
    <xf numFmtId="167" fontId="19" fillId="9" borderId="3" xfId="0" applyNumberFormat="1" applyFont="1" applyFill="1" applyBorder="1" applyAlignment="1" applyProtection="1">
      <alignment horizontal="center" vertical="center"/>
      <protection locked="0"/>
    </xf>
    <xf numFmtId="165" fontId="19" fillId="9" borderId="3" xfId="0" applyNumberFormat="1" applyFont="1" applyFill="1" applyBorder="1" applyAlignment="1">
      <alignment horizontal="center" vertical="center"/>
    </xf>
    <xf numFmtId="0" fontId="11" fillId="2" borderId="27" xfId="0" applyFont="1" applyFill="1" applyBorder="1" applyAlignment="1" applyProtection="1">
      <alignment vertical="center"/>
      <protection locked="0"/>
    </xf>
    <xf numFmtId="0" fontId="11" fillId="0" borderId="27" xfId="0" applyFont="1" applyBorder="1" applyAlignment="1">
      <alignment vertical="center"/>
    </xf>
    <xf numFmtId="0" fontId="19" fillId="2" borderId="21" xfId="0" applyFont="1" applyFill="1" applyBorder="1" applyAlignment="1">
      <alignment horizontal="center" vertical="center"/>
    </xf>
    <xf numFmtId="0" fontId="19" fillId="2" borderId="20" xfId="0" applyFont="1" applyFill="1" applyBorder="1"/>
    <xf numFmtId="0" fontId="14" fillId="3" borderId="3" xfId="0" applyFont="1" applyFill="1" applyBorder="1"/>
    <xf numFmtId="1" fontId="14" fillId="0" borderId="17" xfId="0" applyNumberFormat="1" applyFont="1" applyBorder="1" applyAlignment="1">
      <alignment horizontal="center" vertical="center"/>
    </xf>
    <xf numFmtId="1" fontId="14" fillId="3" borderId="17" xfId="0" applyNumberFormat="1" applyFont="1" applyFill="1" applyBorder="1"/>
    <xf numFmtId="0" fontId="14" fillId="0" borderId="18" xfId="0" applyFont="1" applyBorder="1"/>
    <xf numFmtId="0" fontId="30" fillId="0" borderId="29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right" vertical="center"/>
    </xf>
    <xf numFmtId="0" fontId="11" fillId="2" borderId="3" xfId="0" applyFont="1" applyFill="1" applyBorder="1"/>
    <xf numFmtId="0" fontId="19" fillId="0" borderId="3" xfId="0" applyFont="1" applyBorder="1" applyAlignment="1">
      <alignment horizontal="right"/>
    </xf>
    <xf numFmtId="1" fontId="42" fillId="0" borderId="3" xfId="27" applyNumberFormat="1" applyFont="1" applyBorder="1"/>
    <xf numFmtId="0" fontId="42" fillId="0" borderId="3" xfId="27" applyFont="1" applyBorder="1"/>
    <xf numFmtId="0" fontId="44" fillId="0" borderId="0" xfId="27" applyFont="1" applyAlignment="1">
      <alignment horizontal="center" vertical="center"/>
    </xf>
    <xf numFmtId="1" fontId="44" fillId="0" borderId="0" xfId="27" applyNumberFormat="1" applyFont="1" applyAlignment="1">
      <alignment vertical="center"/>
    </xf>
    <xf numFmtId="0" fontId="42" fillId="2" borderId="27" xfId="0" applyFont="1" applyFill="1" applyBorder="1" applyAlignment="1">
      <alignment horizontal="center" vertical="center" wrapText="1"/>
    </xf>
    <xf numFmtId="0" fontId="42" fillId="2" borderId="27" xfId="0" applyFont="1" applyFill="1" applyBorder="1" applyAlignment="1">
      <alignment vertical="center" wrapText="1"/>
    </xf>
    <xf numFmtId="0" fontId="42" fillId="2" borderId="27" xfId="0" applyFont="1" applyFill="1" applyBorder="1" applyAlignment="1" applyProtection="1">
      <alignment horizontal="right" vertical="center"/>
      <protection locked="0"/>
    </xf>
    <xf numFmtId="165" fontId="42" fillId="0" borderId="27" xfId="0" applyNumberFormat="1" applyFont="1" applyBorder="1" applyAlignment="1">
      <alignment horizontal="center" vertical="center"/>
    </xf>
    <xf numFmtId="1" fontId="42" fillId="0" borderId="28" xfId="27" applyNumberFormat="1" applyFont="1" applyBorder="1"/>
    <xf numFmtId="0" fontId="42" fillId="2" borderId="3" xfId="0" applyFont="1" applyFill="1" applyBorder="1" applyAlignment="1">
      <alignment horizontal="center" vertical="center" wrapText="1"/>
    </xf>
    <xf numFmtId="0" fontId="42" fillId="2" borderId="3" xfId="0" applyFont="1" applyFill="1" applyBorder="1" applyAlignment="1">
      <alignment vertical="center" wrapText="1"/>
    </xf>
    <xf numFmtId="170" fontId="42" fillId="2" borderId="3" xfId="0" applyNumberFormat="1" applyFont="1" applyFill="1" applyBorder="1" applyAlignment="1" applyProtection="1">
      <alignment horizontal="right" vertical="center"/>
      <protection locked="0"/>
    </xf>
    <xf numFmtId="0" fontId="42" fillId="2" borderId="3" xfId="0" applyFont="1" applyFill="1" applyBorder="1" applyAlignment="1" applyProtection="1">
      <alignment horizontal="right" vertical="center"/>
      <protection locked="0"/>
    </xf>
    <xf numFmtId="165" fontId="42" fillId="2" borderId="3" xfId="0" applyNumberFormat="1" applyFont="1" applyFill="1" applyBorder="1" applyAlignment="1">
      <alignment horizontal="center" vertical="center"/>
    </xf>
    <xf numFmtId="165" fontId="42" fillId="0" borderId="3" xfId="0" applyNumberFormat="1" applyFont="1" applyBorder="1" applyAlignment="1">
      <alignment horizontal="center" vertical="center"/>
    </xf>
    <xf numFmtId="1" fontId="42" fillId="0" borderId="20" xfId="27" applyNumberFormat="1" applyFont="1" applyBorder="1"/>
    <xf numFmtId="166" fontId="42" fillId="2" borderId="3" xfId="0" applyNumberFormat="1" applyFont="1" applyFill="1" applyBorder="1" applyAlignment="1" applyProtection="1">
      <alignment horizontal="right" vertical="center"/>
      <protection locked="0"/>
    </xf>
    <xf numFmtId="165" fontId="42" fillId="2" borderId="3" xfId="0" applyNumberFormat="1" applyFont="1" applyFill="1" applyBorder="1" applyAlignment="1" applyProtection="1">
      <alignment horizontal="right" vertical="center"/>
      <protection locked="0"/>
    </xf>
    <xf numFmtId="165" fontId="42" fillId="0" borderId="3" xfId="27" applyNumberFormat="1" applyFont="1" applyBorder="1" applyAlignment="1">
      <alignment horizontal="center" vertical="center"/>
    </xf>
    <xf numFmtId="1" fontId="42" fillId="0" borderId="3" xfId="27" applyNumberFormat="1" applyFont="1" applyBorder="1" applyAlignment="1">
      <alignment horizontal="center" vertical="center"/>
    </xf>
    <xf numFmtId="0" fontId="45" fillId="0" borderId="0" xfId="27" applyFont="1"/>
    <xf numFmtId="1" fontId="46" fillId="0" borderId="0" xfId="27" applyNumberFormat="1" applyFont="1"/>
    <xf numFmtId="0" fontId="19" fillId="2" borderId="4" xfId="0" applyFont="1" applyFill="1" applyBorder="1" applyAlignment="1">
      <alignment vertical="center"/>
    </xf>
    <xf numFmtId="0" fontId="11" fillId="0" borderId="3" xfId="0" applyFont="1" applyBorder="1"/>
    <xf numFmtId="1" fontId="42" fillId="0" borderId="8" xfId="27" applyNumberFormat="1" applyFont="1" applyBorder="1"/>
    <xf numFmtId="1" fontId="42" fillId="0" borderId="27" xfId="27" applyNumberFormat="1" applyFont="1" applyBorder="1"/>
    <xf numFmtId="0" fontId="41" fillId="0" borderId="41" xfId="13" applyFont="1" applyBorder="1" applyAlignment="1">
      <alignment vertical="center"/>
    </xf>
    <xf numFmtId="0" fontId="11" fillId="2" borderId="14" xfId="0" applyFont="1" applyFill="1" applyBorder="1" applyAlignment="1" applyProtection="1">
      <alignment horizontal="center" vertical="center"/>
      <protection locked="0"/>
    </xf>
    <xf numFmtId="165" fontId="11" fillId="2" borderId="14" xfId="0" applyNumberFormat="1" applyFont="1" applyFill="1" applyBorder="1" applyAlignment="1" applyProtection="1">
      <alignment horizontal="center" vertical="center"/>
      <protection locked="0"/>
    </xf>
    <xf numFmtId="170" fontId="11" fillId="2" borderId="11" xfId="0" applyNumberFormat="1" applyFont="1" applyFill="1" applyBorder="1" applyAlignment="1" applyProtection="1">
      <alignment horizontal="center" vertical="center"/>
      <protection locked="0"/>
    </xf>
    <xf numFmtId="0" fontId="41" fillId="0" borderId="34" xfId="27" applyFont="1" applyBorder="1"/>
    <xf numFmtId="1" fontId="42" fillId="0" borderId="22" xfId="27" applyNumberFormat="1" applyFont="1" applyBorder="1"/>
    <xf numFmtId="0" fontId="11" fillId="2" borderId="3" xfId="0" applyFont="1" applyFill="1" applyBorder="1" applyAlignment="1" applyProtection="1">
      <alignment horizontal="center" vertical="center"/>
      <protection locked="0"/>
    </xf>
    <xf numFmtId="0" fontId="58" fillId="0" borderId="0" xfId="27" applyFont="1" applyAlignment="1">
      <alignment vertical="top" wrapText="1"/>
    </xf>
    <xf numFmtId="0" fontId="61" fillId="0" borderId="46" xfId="28" applyFont="1" applyBorder="1" applyAlignment="1">
      <alignment horizontal="center" vertical="center" wrapText="1"/>
    </xf>
    <xf numFmtId="0" fontId="61" fillId="0" borderId="0" xfId="28" applyFont="1" applyAlignment="1">
      <alignment horizontal="center" vertical="center"/>
    </xf>
    <xf numFmtId="0" fontId="61" fillId="0" borderId="45" xfId="28" applyFont="1" applyBorder="1" applyAlignment="1">
      <alignment horizontal="center" vertical="center"/>
    </xf>
    <xf numFmtId="0" fontId="61" fillId="0" borderId="46" xfId="28" applyFont="1" applyBorder="1" applyAlignment="1">
      <alignment horizontal="center" vertical="center"/>
    </xf>
    <xf numFmtId="0" fontId="44" fillId="0" borderId="48" xfId="28" applyFont="1" applyBorder="1" applyAlignment="1">
      <alignment horizontal="center" vertical="center" textRotation="90" wrapText="1"/>
    </xf>
    <xf numFmtId="0" fontId="44" fillId="0" borderId="47" xfId="28" applyFont="1" applyBorder="1" applyAlignment="1">
      <alignment horizontal="center" vertical="center"/>
    </xf>
    <xf numFmtId="0" fontId="44" fillId="0" borderId="47" xfId="28" applyFont="1" applyBorder="1" applyAlignment="1">
      <alignment horizontal="center" vertical="center" wrapText="1"/>
    </xf>
    <xf numFmtId="1" fontId="32" fillId="0" borderId="0" xfId="27" applyNumberFormat="1" applyFont="1"/>
    <xf numFmtId="0" fontId="32" fillId="0" borderId="0" xfId="27" applyFont="1"/>
    <xf numFmtId="1" fontId="41" fillId="0" borderId="0" xfId="27" applyNumberFormat="1" applyFont="1"/>
    <xf numFmtId="0" fontId="41" fillId="0" borderId="0" xfId="27" applyFont="1"/>
    <xf numFmtId="1" fontId="12" fillId="0" borderId="28" xfId="0" applyNumberFormat="1" applyFont="1" applyBorder="1" applyAlignment="1">
      <alignment vertical="center"/>
    </xf>
    <xf numFmtId="1" fontId="12" fillId="0" borderId="20" xfId="0" applyNumberFormat="1" applyFont="1" applyBorder="1" applyAlignment="1">
      <alignment vertical="center"/>
    </xf>
    <xf numFmtId="0" fontId="11" fillId="0" borderId="3" xfId="17" applyFont="1" applyBorder="1" applyAlignment="1">
      <alignment horizontal="left" vertical="center"/>
    </xf>
    <xf numFmtId="0" fontId="49" fillId="8" borderId="3" xfId="0" applyFont="1" applyFill="1" applyBorder="1" applyAlignment="1">
      <alignment horizontal="left" vertical="center"/>
    </xf>
    <xf numFmtId="0" fontId="63" fillId="0" borderId="0" xfId="27" applyFont="1"/>
    <xf numFmtId="1" fontId="63" fillId="0" borderId="0" xfId="27" applyNumberFormat="1" applyFont="1"/>
    <xf numFmtId="1" fontId="41" fillId="0" borderId="19" xfId="27" applyNumberFormat="1" applyFont="1" applyBorder="1" applyAlignment="1">
      <alignment vertical="center"/>
    </xf>
    <xf numFmtId="168" fontId="40" fillId="0" borderId="15" xfId="1" applyNumberFormat="1" applyFont="1" applyBorder="1" applyAlignment="1" applyProtection="1">
      <alignment horizontal="left" vertical="center"/>
    </xf>
    <xf numFmtId="168" fontId="40" fillId="0" borderId="17" xfId="1" applyNumberFormat="1" applyFont="1" applyBorder="1" applyAlignment="1" applyProtection="1">
      <alignment horizontal="left" vertical="center"/>
    </xf>
    <xf numFmtId="168" fontId="31" fillId="0" borderId="17" xfId="1" applyNumberFormat="1" applyFont="1" applyBorder="1" applyAlignment="1" applyProtection="1">
      <alignment horizontal="left" vertical="center"/>
    </xf>
    <xf numFmtId="168" fontId="40" fillId="0" borderId="17" xfId="1" applyNumberFormat="1" applyFont="1" applyFill="1" applyBorder="1" applyAlignment="1" applyProtection="1">
      <alignment horizontal="left" vertical="center"/>
    </xf>
    <xf numFmtId="168" fontId="40" fillId="0" borderId="15" xfId="1" applyNumberFormat="1" applyFont="1" applyFill="1" applyBorder="1" applyAlignment="1" applyProtection="1">
      <alignment horizontal="left" vertical="center"/>
    </xf>
    <xf numFmtId="168" fontId="38" fillId="0" borderId="17" xfId="1" applyNumberFormat="1" applyFont="1" applyFill="1" applyBorder="1" applyAlignment="1" applyProtection="1">
      <alignment horizontal="left" vertical="center"/>
    </xf>
    <xf numFmtId="168" fontId="31" fillId="0" borderId="17" xfId="1" applyNumberFormat="1" applyFont="1" applyFill="1" applyBorder="1" applyAlignment="1" applyProtection="1">
      <alignment horizontal="left" vertical="center"/>
    </xf>
    <xf numFmtId="0" fontId="43" fillId="0" borderId="0" xfId="27" applyFont="1" applyAlignment="1">
      <alignment horizontal="center" vertical="center"/>
    </xf>
    <xf numFmtId="0" fontId="42" fillId="0" borderId="0" xfId="20" applyFont="1" applyAlignment="1">
      <alignment horizontal="center" vertical="center"/>
    </xf>
    <xf numFmtId="0" fontId="42" fillId="0" borderId="0" xfId="27" applyFont="1" applyAlignment="1">
      <alignment horizontal="center" vertical="center"/>
    </xf>
    <xf numFmtId="1" fontId="42" fillId="0" borderId="0" xfId="27" applyNumberFormat="1" applyFont="1" applyAlignment="1">
      <alignment horizontal="center" vertical="center"/>
    </xf>
    <xf numFmtId="1" fontId="42" fillId="0" borderId="0" xfId="27" applyNumberFormat="1" applyFont="1" applyAlignment="1">
      <alignment vertical="center"/>
    </xf>
    <xf numFmtId="1" fontId="42" fillId="0" borderId="0" xfId="27" applyNumberFormat="1" applyFont="1" applyAlignment="1">
      <alignment horizontal="right" vertical="center"/>
    </xf>
    <xf numFmtId="1" fontId="42" fillId="0" borderId="0" xfId="27" applyNumberFormat="1" applyFont="1"/>
    <xf numFmtId="0" fontId="42" fillId="0" borderId="0" xfId="25" applyFont="1" applyAlignment="1">
      <alignment vertical="center"/>
    </xf>
    <xf numFmtId="1" fontId="43" fillId="0" borderId="0" xfId="27" applyNumberFormat="1" applyFont="1" applyAlignment="1">
      <alignment horizontal="center" vertical="center"/>
    </xf>
    <xf numFmtId="0" fontId="42" fillId="0" borderId="0" xfId="8" applyFont="1" applyAlignment="1">
      <alignment vertical="center" shrinkToFit="1"/>
    </xf>
    <xf numFmtId="0" fontId="42" fillId="0" borderId="0" xfId="7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13" applyFont="1" applyAlignment="1">
      <alignment horizontal="left" vertical="center"/>
    </xf>
    <xf numFmtId="0" fontId="43" fillId="0" borderId="0" xfId="27" applyFont="1" applyAlignment="1">
      <alignment horizontal="center" vertical="center" wrapText="1"/>
    </xf>
    <xf numFmtId="1" fontId="43" fillId="0" borderId="0" xfId="27" applyNumberFormat="1" applyFont="1" applyAlignment="1">
      <alignment vertical="center" wrapText="1"/>
    </xf>
    <xf numFmtId="1" fontId="43" fillId="0" borderId="0" xfId="27" applyNumberFormat="1" applyFont="1" applyAlignment="1">
      <alignment horizontal="right" vertical="center" wrapText="1"/>
    </xf>
    <xf numFmtId="0" fontId="57" fillId="0" borderId="0" xfId="20" applyFont="1" applyAlignment="1">
      <alignment vertical="center"/>
    </xf>
    <xf numFmtId="0" fontId="42" fillId="0" borderId="0" xfId="24" applyFont="1" applyAlignment="1">
      <alignment horizontal="left" vertical="center"/>
    </xf>
    <xf numFmtId="0" fontId="42" fillId="0" borderId="0" xfId="25" applyFont="1" applyAlignment="1">
      <alignment vertical="center" shrinkToFit="1"/>
    </xf>
    <xf numFmtId="0" fontId="42" fillId="0" borderId="0" xfId="17" applyFont="1" applyAlignment="1">
      <alignment vertical="center"/>
    </xf>
    <xf numFmtId="0" fontId="42" fillId="0" borderId="0" xfId="17" applyFont="1" applyAlignment="1">
      <alignment vertical="center" shrinkToFit="1"/>
    </xf>
    <xf numFmtId="0" fontId="42" fillId="0" borderId="0" xfId="26" applyFont="1" applyAlignment="1">
      <alignment vertical="center"/>
    </xf>
    <xf numFmtId="0" fontId="42" fillId="0" borderId="0" xfId="11" applyFont="1" applyAlignment="1">
      <alignment horizontal="left" vertical="center" wrapText="1"/>
    </xf>
    <xf numFmtId="0" fontId="42" fillId="0" borderId="0" xfId="5" applyFont="1" applyAlignment="1">
      <alignment horizontal="left" vertical="center"/>
    </xf>
    <xf numFmtId="0" fontId="42" fillId="0" borderId="0" xfId="12" applyFont="1" applyAlignment="1">
      <alignment horizontal="left" vertical="center" wrapText="1"/>
    </xf>
    <xf numFmtId="0" fontId="42" fillId="0" borderId="0" xfId="8" applyFont="1" applyAlignment="1">
      <alignment vertical="center" wrapText="1" shrinkToFit="1"/>
    </xf>
    <xf numFmtId="1" fontId="53" fillId="0" borderId="0" xfId="27" applyNumberFormat="1" applyFont="1" applyAlignment="1">
      <alignment horizontal="right" vertical="center" wrapText="1"/>
    </xf>
    <xf numFmtId="1" fontId="53" fillId="0" borderId="0" xfId="27" applyNumberFormat="1" applyFont="1" applyAlignment="1">
      <alignment vertical="center" wrapText="1"/>
    </xf>
    <xf numFmtId="0" fontId="42" fillId="0" borderId="0" xfId="13" applyFont="1" applyAlignment="1">
      <alignment vertical="center" wrapText="1"/>
    </xf>
    <xf numFmtId="1" fontId="55" fillId="0" borderId="0" xfId="27" applyNumberFormat="1" applyFont="1" applyAlignment="1">
      <alignment horizontal="right" vertical="center" wrapText="1"/>
    </xf>
    <xf numFmtId="1" fontId="54" fillId="0" borderId="0" xfId="27" applyNumberFormat="1" applyFont="1" applyAlignment="1">
      <alignment horizontal="center" vertical="center" wrapText="1"/>
    </xf>
    <xf numFmtId="1" fontId="41" fillId="11" borderId="0" xfId="27" applyNumberFormat="1" applyFont="1" applyFill="1" applyAlignment="1">
      <alignment horizontal="right" vertical="center"/>
    </xf>
    <xf numFmtId="1" fontId="41" fillId="11" borderId="0" xfId="27" applyNumberFormat="1" applyFont="1" applyFill="1"/>
    <xf numFmtId="0" fontId="41" fillId="0" borderId="0" xfId="27" applyFont="1" applyAlignment="1">
      <alignment vertical="center" textRotation="90"/>
    </xf>
    <xf numFmtId="0" fontId="41" fillId="11" borderId="0" xfId="20" applyFont="1" applyFill="1" applyAlignment="1">
      <alignment vertical="center"/>
    </xf>
    <xf numFmtId="0" fontId="41" fillId="2" borderId="1" xfId="0" applyFont="1" applyFill="1" applyBorder="1" applyAlignment="1">
      <alignment horizontal="center" vertical="center"/>
    </xf>
    <xf numFmtId="0" fontId="66" fillId="2" borderId="1" xfId="0" applyFont="1" applyFill="1" applyBorder="1" applyAlignment="1">
      <alignment horizontal="center" vertical="center"/>
    </xf>
    <xf numFmtId="0" fontId="66" fillId="2" borderId="1" xfId="0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/>
    </xf>
    <xf numFmtId="0" fontId="42" fillId="0" borderId="29" xfId="27" applyFont="1" applyBorder="1" applyAlignment="1">
      <alignment horizontal="center" vertical="center"/>
    </xf>
    <xf numFmtId="0" fontId="42" fillId="0" borderId="4" xfId="20" applyFont="1" applyBorder="1" applyAlignment="1">
      <alignment horizontal="left" vertical="center"/>
    </xf>
    <xf numFmtId="0" fontId="42" fillId="0" borderId="21" xfId="27" applyFont="1" applyBorder="1" applyAlignment="1">
      <alignment horizontal="center" vertical="center"/>
    </xf>
    <xf numFmtId="0" fontId="42" fillId="0" borderId="3" xfId="20" applyFont="1" applyBorder="1" applyAlignment="1">
      <alignment horizontal="left" vertical="center"/>
    </xf>
    <xf numFmtId="1" fontId="42" fillId="0" borderId="3" xfId="8" applyNumberFormat="1" applyFont="1" applyBorder="1" applyAlignment="1">
      <alignment vertical="center" wrapText="1"/>
    </xf>
    <xf numFmtId="0" fontId="42" fillId="0" borderId="20" xfId="27" applyFont="1" applyBorder="1" applyAlignment="1">
      <alignment horizontal="center" vertical="center"/>
    </xf>
    <xf numFmtId="0" fontId="66" fillId="0" borderId="3" xfId="20" applyFont="1" applyBorder="1" applyAlignment="1">
      <alignment horizontal="left" vertical="center"/>
    </xf>
    <xf numFmtId="0" fontId="43" fillId="0" borderId="20" xfId="27" applyFont="1" applyBorder="1" applyAlignment="1">
      <alignment horizontal="center" vertical="center"/>
    </xf>
    <xf numFmtId="1" fontId="42" fillId="0" borderId="3" xfId="13" applyNumberFormat="1" applyFont="1" applyBorder="1" applyAlignment="1">
      <alignment horizontal="right" vertical="center"/>
    </xf>
    <xf numFmtId="1" fontId="43" fillId="0" borderId="3" xfId="0" applyNumberFormat="1" applyFont="1" applyBorder="1" applyAlignment="1">
      <alignment horizontal="right" vertical="center"/>
    </xf>
    <xf numFmtId="1" fontId="43" fillId="0" borderId="3" xfId="20" applyNumberFormat="1" applyFont="1" applyBorder="1" applyAlignment="1">
      <alignment horizontal="right" vertical="center"/>
    </xf>
    <xf numFmtId="0" fontId="41" fillId="0" borderId="3" xfId="20" applyFont="1" applyBorder="1" applyAlignment="1">
      <alignment horizontal="left" vertical="center"/>
    </xf>
    <xf numFmtId="1" fontId="43" fillId="0" borderId="20" xfId="27" applyNumberFormat="1" applyFont="1" applyBorder="1" applyAlignment="1">
      <alignment horizontal="center" vertical="center"/>
    </xf>
    <xf numFmtId="1" fontId="43" fillId="0" borderId="24" xfId="27" applyNumberFormat="1" applyFont="1" applyBorder="1" applyAlignment="1">
      <alignment horizontal="center" vertical="center"/>
    </xf>
    <xf numFmtId="0" fontId="42" fillId="0" borderId="23" xfId="24" applyFont="1" applyBorder="1" applyAlignment="1">
      <alignment horizontal="left" vertical="center" wrapText="1"/>
    </xf>
    <xf numFmtId="0" fontId="42" fillId="0" borderId="23" xfId="27" applyFont="1" applyBorder="1" applyAlignment="1">
      <alignment horizontal="center" vertical="center"/>
    </xf>
    <xf numFmtId="168" fontId="40" fillId="0" borderId="31" xfId="1" applyNumberFormat="1" applyFont="1" applyFill="1" applyBorder="1" applyAlignment="1" applyProtection="1">
      <alignment horizontal="left" vertical="center"/>
    </xf>
    <xf numFmtId="0" fontId="19" fillId="0" borderId="3" xfId="25" applyFont="1" applyBorder="1" applyAlignment="1">
      <alignment horizontal="left" vertical="center"/>
    </xf>
    <xf numFmtId="1" fontId="19" fillId="3" borderId="20" xfId="0" applyNumberFormat="1" applyFont="1" applyFill="1" applyBorder="1" applyAlignment="1">
      <alignment horizontal="right"/>
    </xf>
    <xf numFmtId="0" fontId="9" fillId="0" borderId="0" xfId="0" applyFont="1"/>
    <xf numFmtId="0" fontId="48" fillId="0" borderId="3" xfId="25" applyFont="1" applyBorder="1" applyAlignment="1">
      <alignment horizontal="left" vertical="center"/>
    </xf>
    <xf numFmtId="0" fontId="16" fillId="2" borderId="3" xfId="0" applyFont="1" applyFill="1" applyBorder="1" applyAlignment="1">
      <alignment vertical="center"/>
    </xf>
    <xf numFmtId="0" fontId="16" fillId="2" borderId="3" xfId="0" applyFont="1" applyFill="1" applyBorder="1" applyAlignment="1">
      <alignment horizontal="left" vertical="center"/>
    </xf>
    <xf numFmtId="166" fontId="11" fillId="0" borderId="3" xfId="0" applyNumberFormat="1" applyFont="1" applyBorder="1" applyAlignment="1" applyProtection="1">
      <alignment horizontal="right"/>
      <protection locked="0"/>
    </xf>
    <xf numFmtId="170" fontId="11" fillId="0" borderId="3" xfId="0" applyNumberFormat="1" applyFont="1" applyBorder="1" applyAlignment="1">
      <alignment horizontal="right"/>
    </xf>
    <xf numFmtId="165" fontId="11" fillId="2" borderId="0" xfId="0" applyNumberFormat="1" applyFont="1" applyFill="1" applyAlignment="1">
      <alignment horizontal="center" vertical="center"/>
    </xf>
    <xf numFmtId="170" fontId="13" fillId="0" borderId="3" xfId="0" applyNumberFormat="1" applyFont="1" applyBorder="1" applyAlignment="1">
      <alignment horizontal="right"/>
    </xf>
    <xf numFmtId="1" fontId="42" fillId="0" borderId="3" xfId="0" applyNumberFormat="1" applyFont="1" applyBorder="1" applyAlignment="1">
      <alignment horizontal="right" vertical="center"/>
    </xf>
    <xf numFmtId="1" fontId="44" fillId="0" borderId="3" xfId="20" applyNumberFormat="1" applyFont="1" applyBorder="1" applyAlignment="1">
      <alignment vertical="center"/>
    </xf>
    <xf numFmtId="0" fontId="23" fillId="0" borderId="3" xfId="0" applyFont="1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shrinkToFit="1"/>
    </xf>
    <xf numFmtId="0" fontId="31" fillId="0" borderId="1" xfId="0" applyFont="1" applyBorder="1" applyAlignment="1">
      <alignment horizontal="center" vertical="center" wrapText="1"/>
    </xf>
    <xf numFmtId="168" fontId="31" fillId="0" borderId="31" xfId="1" applyNumberFormat="1" applyFont="1" applyFill="1" applyBorder="1" applyAlignment="1" applyProtection="1">
      <alignment horizontal="left" vertical="center"/>
    </xf>
    <xf numFmtId="1" fontId="31" fillId="0" borderId="9" xfId="0" applyNumberFormat="1" applyFont="1" applyBorder="1" applyAlignment="1">
      <alignment horizontal="right" vertical="center"/>
    </xf>
    <xf numFmtId="168" fontId="31" fillId="0" borderId="18" xfId="1" applyNumberFormat="1" applyFont="1" applyFill="1" applyBorder="1" applyAlignment="1" applyProtection="1">
      <alignment horizontal="left" vertical="center"/>
    </xf>
    <xf numFmtId="1" fontId="40" fillId="0" borderId="43" xfId="0" applyNumberFormat="1" applyFont="1" applyBorder="1" applyAlignment="1">
      <alignment horizontal="right" vertical="center"/>
    </xf>
    <xf numFmtId="1" fontId="40" fillId="0" borderId="3" xfId="0" applyNumberFormat="1" applyFont="1" applyBorder="1"/>
    <xf numFmtId="166" fontId="11" fillId="0" borderId="3" xfId="0" applyNumberFormat="1" applyFont="1" applyBorder="1" applyAlignment="1">
      <alignment horizontal="center" vertical="center" shrinkToFit="1"/>
    </xf>
    <xf numFmtId="165" fontId="13" fillId="0" borderId="3" xfId="0" applyNumberFormat="1" applyFont="1" applyBorder="1" applyAlignment="1">
      <alignment horizontal="center" vertical="center"/>
    </xf>
    <xf numFmtId="165" fontId="13" fillId="8" borderId="3" xfId="0" applyNumberFormat="1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left"/>
    </xf>
    <xf numFmtId="0" fontId="19" fillId="8" borderId="3" xfId="0" applyFont="1" applyFill="1" applyBorder="1"/>
    <xf numFmtId="0" fontId="13" fillId="8" borderId="3" xfId="0" applyFont="1" applyFill="1" applyBorder="1"/>
    <xf numFmtId="10" fontId="44" fillId="0" borderId="19" xfId="29" applyNumberFormat="1" applyFont="1" applyFill="1" applyBorder="1" applyAlignment="1" applyProtection="1">
      <alignment vertical="center"/>
    </xf>
    <xf numFmtId="0" fontId="41" fillId="0" borderId="19" xfId="20" applyFont="1" applyBorder="1" applyAlignment="1">
      <alignment horizontal="left" vertical="center"/>
    </xf>
    <xf numFmtId="0" fontId="11" fillId="2" borderId="27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9" fillId="8" borderId="3" xfId="8" applyFont="1" applyFill="1" applyBorder="1" applyAlignment="1">
      <alignment horizontal="left" vertical="center" shrinkToFit="1"/>
    </xf>
    <xf numFmtId="0" fontId="11" fillId="0" borderId="3" xfId="8" applyFont="1" applyBorder="1" applyAlignment="1">
      <alignment horizontal="left" vertical="center" shrinkToFit="1"/>
    </xf>
    <xf numFmtId="0" fontId="11" fillId="2" borderId="3" xfId="0" applyFont="1" applyFill="1" applyBorder="1" applyAlignment="1">
      <alignment vertical="top"/>
    </xf>
    <xf numFmtId="0" fontId="19" fillId="2" borderId="3" xfId="0" applyFont="1" applyFill="1" applyBorder="1" applyAlignment="1">
      <alignment vertical="top"/>
    </xf>
    <xf numFmtId="1" fontId="11" fillId="2" borderId="20" xfId="0" applyNumberFormat="1" applyFont="1" applyFill="1" applyBorder="1" applyAlignment="1">
      <alignment vertical="top"/>
    </xf>
    <xf numFmtId="0" fontId="11" fillId="0" borderId="4" xfId="0" applyFont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166" fontId="11" fillId="10" borderId="3" xfId="0" applyNumberFormat="1" applyFont="1" applyFill="1" applyBorder="1" applyAlignment="1">
      <alignment horizontal="center" vertical="center"/>
    </xf>
    <xf numFmtId="0" fontId="11" fillId="10" borderId="3" xfId="0" applyFont="1" applyFill="1" applyBorder="1" applyAlignment="1" applyProtection="1">
      <alignment horizontal="right"/>
      <protection locked="0"/>
    </xf>
    <xf numFmtId="0" fontId="11" fillId="10" borderId="3" xfId="0" applyFont="1" applyFill="1" applyBorder="1" applyAlignment="1">
      <alignment horizontal="right"/>
    </xf>
    <xf numFmtId="0" fontId="17" fillId="10" borderId="3" xfId="11" applyFont="1" applyFill="1" applyBorder="1" applyAlignment="1">
      <alignment horizontal="left" vertical="center"/>
    </xf>
    <xf numFmtId="0" fontId="17" fillId="0" borderId="4" xfId="11" applyFont="1" applyBorder="1" applyAlignment="1">
      <alignment horizontal="left" vertical="center"/>
    </xf>
    <xf numFmtId="0" fontId="11" fillId="0" borderId="4" xfId="0" applyFont="1" applyBorder="1" applyAlignment="1">
      <alignment horizontal="right"/>
    </xf>
    <xf numFmtId="0" fontId="11" fillId="12" borderId="3" xfId="0" applyFont="1" applyFill="1" applyBorder="1" applyAlignment="1">
      <alignment vertical="center"/>
    </xf>
    <xf numFmtId="0" fontId="11" fillId="12" borderId="3" xfId="0" applyFont="1" applyFill="1" applyBorder="1" applyAlignment="1">
      <alignment horizontal="center" vertical="center"/>
    </xf>
    <xf numFmtId="166" fontId="11" fillId="12" borderId="3" xfId="0" applyNumberFormat="1" applyFont="1" applyFill="1" applyBorder="1" applyAlignment="1">
      <alignment horizontal="center" vertical="center"/>
    </xf>
    <xf numFmtId="0" fontId="11" fillId="12" borderId="3" xfId="0" applyFont="1" applyFill="1" applyBorder="1" applyAlignment="1" applyProtection="1">
      <alignment horizontal="right"/>
      <protection locked="0"/>
    </xf>
    <xf numFmtId="0" fontId="11" fillId="12" borderId="3" xfId="0" applyFont="1" applyFill="1" applyBorder="1" applyAlignment="1">
      <alignment horizontal="right"/>
    </xf>
    <xf numFmtId="1" fontId="11" fillId="12" borderId="20" xfId="0" applyNumberFormat="1" applyFont="1" applyFill="1" applyBorder="1" applyAlignment="1">
      <alignment horizontal="right"/>
    </xf>
    <xf numFmtId="165" fontId="11" fillId="12" borderId="3" xfId="0" applyNumberFormat="1" applyFont="1" applyFill="1" applyBorder="1" applyAlignment="1">
      <alignment horizontal="center" vertical="center"/>
    </xf>
    <xf numFmtId="4" fontId="11" fillId="12" borderId="3" xfId="0" applyNumberFormat="1" applyFont="1" applyFill="1" applyBorder="1" applyAlignment="1" applyProtection="1">
      <alignment horizontal="right"/>
      <protection locked="0"/>
    </xf>
    <xf numFmtId="165" fontId="11" fillId="12" borderId="3" xfId="0" applyNumberFormat="1" applyFont="1" applyFill="1" applyBorder="1" applyAlignment="1">
      <alignment horizontal="right"/>
    </xf>
    <xf numFmtId="1" fontId="52" fillId="2" borderId="20" xfId="0" applyNumberFormat="1" applyFont="1" applyFill="1" applyBorder="1" applyAlignment="1">
      <alignment horizontal="right"/>
    </xf>
    <xf numFmtId="0" fontId="52" fillId="10" borderId="3" xfId="0" applyFont="1" applyFill="1" applyBorder="1" applyAlignment="1">
      <alignment horizontal="center" vertical="center"/>
    </xf>
    <xf numFmtId="166" fontId="52" fillId="10" borderId="3" xfId="0" applyNumberFormat="1" applyFont="1" applyFill="1" applyBorder="1" applyAlignment="1">
      <alignment horizontal="center" vertical="center"/>
    </xf>
    <xf numFmtId="0" fontId="52" fillId="10" borderId="3" xfId="0" applyFont="1" applyFill="1" applyBorder="1" applyAlignment="1">
      <alignment horizontal="right"/>
    </xf>
    <xf numFmtId="0" fontId="11" fillId="8" borderId="4" xfId="0" applyFont="1" applyFill="1" applyBorder="1" applyAlignment="1">
      <alignment horizontal="center" vertical="center" wrapText="1"/>
    </xf>
    <xf numFmtId="166" fontId="13" fillId="10" borderId="3" xfId="0" applyNumberFormat="1" applyFont="1" applyFill="1" applyBorder="1" applyAlignment="1">
      <alignment horizontal="center" vertical="center"/>
    </xf>
    <xf numFmtId="0" fontId="19" fillId="10" borderId="3" xfId="0" applyFont="1" applyFill="1" applyBorder="1" applyAlignment="1" applyProtection="1">
      <alignment horizontal="right"/>
      <protection locked="0"/>
    </xf>
    <xf numFmtId="0" fontId="13" fillId="10" borderId="3" xfId="0" applyFont="1" applyFill="1" applyBorder="1" applyAlignment="1">
      <alignment horizontal="right"/>
    </xf>
    <xf numFmtId="166" fontId="13" fillId="0" borderId="3" xfId="0" applyNumberFormat="1" applyFont="1" applyBorder="1" applyAlignment="1">
      <alignment horizontal="center" vertical="center" shrinkToFit="1"/>
    </xf>
    <xf numFmtId="0" fontId="52" fillId="0" borderId="3" xfId="25" applyFont="1" applyBorder="1" applyAlignment="1">
      <alignment horizontal="left" vertical="center"/>
    </xf>
    <xf numFmtId="0" fontId="50" fillId="0" borderId="3" xfId="25" applyFont="1" applyBorder="1" applyAlignment="1">
      <alignment horizontal="left" vertical="center"/>
    </xf>
    <xf numFmtId="0" fontId="50" fillId="8" borderId="3" xfId="25" applyFont="1" applyFill="1" applyBorder="1" applyAlignment="1">
      <alignment horizontal="left" vertical="center"/>
    </xf>
    <xf numFmtId="1" fontId="50" fillId="0" borderId="20" xfId="0" applyNumberFormat="1" applyFont="1" applyBorder="1" applyAlignment="1">
      <alignment horizontal="right"/>
    </xf>
    <xf numFmtId="1" fontId="50" fillId="8" borderId="20" xfId="0" applyNumberFormat="1" applyFont="1" applyFill="1" applyBorder="1" applyAlignment="1">
      <alignment horizontal="right"/>
    </xf>
    <xf numFmtId="1" fontId="52" fillId="0" borderId="20" xfId="0" applyNumberFormat="1" applyFont="1" applyBorder="1" applyAlignment="1">
      <alignment horizontal="right"/>
    </xf>
    <xf numFmtId="0" fontId="52" fillId="2" borderId="3" xfId="0" applyFont="1" applyFill="1" applyBorder="1" applyAlignment="1">
      <alignment horizontal="left" vertical="center"/>
    </xf>
    <xf numFmtId="0" fontId="69" fillId="0" borderId="3" xfId="0" applyFont="1" applyBorder="1" applyAlignment="1" applyProtection="1">
      <alignment vertical="center" wrapText="1"/>
      <protection locked="0"/>
    </xf>
    <xf numFmtId="0" fontId="69" fillId="8" borderId="3" xfId="0" applyFont="1" applyFill="1" applyBorder="1" applyAlignment="1" applyProtection="1">
      <alignment vertical="center" wrapText="1"/>
      <protection locked="0"/>
    </xf>
    <xf numFmtId="0" fontId="0" fillId="0" borderId="0" xfId="0" applyAlignment="1">
      <alignment horizontal="center"/>
    </xf>
    <xf numFmtId="0" fontId="30" fillId="0" borderId="0" xfId="0" applyFont="1"/>
    <xf numFmtId="0" fontId="30" fillId="0" borderId="3" xfId="0" applyFont="1" applyBorder="1"/>
    <xf numFmtId="0" fontId="30" fillId="0" borderId="0" xfId="0" applyFont="1" applyAlignment="1">
      <alignment horizontal="center"/>
    </xf>
    <xf numFmtId="0" fontId="24" fillId="8" borderId="3" xfId="11" applyFont="1" applyFill="1" applyBorder="1" applyAlignment="1">
      <alignment horizontal="left" vertical="center"/>
    </xf>
    <xf numFmtId="0" fontId="13" fillId="13" borderId="3" xfId="0" applyFont="1" applyFill="1" applyBorder="1" applyAlignment="1">
      <alignment horizontal="left" vertical="center"/>
    </xf>
    <xf numFmtId="0" fontId="13" fillId="13" borderId="3" xfId="0" applyFont="1" applyFill="1" applyBorder="1" applyAlignment="1">
      <alignment horizontal="center" vertical="center"/>
    </xf>
    <xf numFmtId="166" fontId="13" fillId="13" borderId="3" xfId="0" applyNumberFormat="1" applyFont="1" applyFill="1" applyBorder="1" applyAlignment="1">
      <alignment horizontal="center" vertical="center"/>
    </xf>
    <xf numFmtId="0" fontId="13" fillId="13" borderId="3" xfId="0" applyFont="1" applyFill="1" applyBorder="1" applyAlignment="1" applyProtection="1">
      <alignment horizontal="right"/>
      <protection locked="0"/>
    </xf>
    <xf numFmtId="0" fontId="13" fillId="13" borderId="3" xfId="0" applyFont="1" applyFill="1" applyBorder="1" applyAlignment="1">
      <alignment horizontal="right"/>
    </xf>
    <xf numFmtId="1" fontId="13" fillId="13" borderId="20" xfId="0" applyNumberFormat="1" applyFont="1" applyFill="1" applyBorder="1" applyAlignment="1">
      <alignment horizontal="right"/>
    </xf>
    <xf numFmtId="0" fontId="11" fillId="13" borderId="3" xfId="0" applyFont="1" applyFill="1" applyBorder="1" applyAlignment="1">
      <alignment horizontal="left" vertical="center"/>
    </xf>
    <xf numFmtId="0" fontId="11" fillId="13" borderId="3" xfId="0" applyFont="1" applyFill="1" applyBorder="1" applyAlignment="1">
      <alignment horizontal="center" vertical="center"/>
    </xf>
    <xf numFmtId="166" fontId="11" fillId="13" borderId="3" xfId="0" applyNumberFormat="1" applyFont="1" applyFill="1" applyBorder="1" applyAlignment="1">
      <alignment horizontal="center" vertical="center"/>
    </xf>
    <xf numFmtId="166" fontId="11" fillId="13" borderId="3" xfId="0" applyNumberFormat="1" applyFont="1" applyFill="1" applyBorder="1" applyAlignment="1" applyProtection="1">
      <alignment horizontal="right"/>
      <protection locked="0"/>
    </xf>
    <xf numFmtId="0" fontId="11" fillId="13" borderId="3" xfId="0" applyFont="1" applyFill="1" applyBorder="1" applyAlignment="1">
      <alignment horizontal="right"/>
    </xf>
    <xf numFmtId="1" fontId="11" fillId="13" borderId="20" xfId="0" applyNumberFormat="1" applyFont="1" applyFill="1" applyBorder="1" applyAlignment="1">
      <alignment horizontal="right"/>
    </xf>
    <xf numFmtId="0" fontId="52" fillId="0" borderId="3" xfId="0" applyFont="1" applyBorder="1" applyAlignment="1" applyProtection="1">
      <alignment horizontal="right"/>
      <protection locked="0"/>
    </xf>
    <xf numFmtId="0" fontId="52" fillId="3" borderId="3" xfId="0" applyFont="1" applyFill="1" applyBorder="1" applyAlignment="1">
      <alignment horizontal="right"/>
    </xf>
    <xf numFmtId="0" fontId="52" fillId="8" borderId="3" xfId="0" applyFont="1" applyFill="1" applyBorder="1" applyAlignment="1">
      <alignment horizontal="right"/>
    </xf>
    <xf numFmtId="171" fontId="30" fillId="0" borderId="20" xfId="29" applyNumberFormat="1" applyFont="1" applyBorder="1" applyAlignment="1">
      <alignment horizontal="center" vertical="center"/>
    </xf>
    <xf numFmtId="0" fontId="52" fillId="0" borderId="3" xfId="17" applyFont="1" applyBorder="1" applyAlignment="1">
      <alignment horizontal="left" vertical="center"/>
    </xf>
    <xf numFmtId="0" fontId="19" fillId="0" borderId="3" xfId="17" applyFont="1" applyBorder="1" applyAlignment="1">
      <alignment horizontal="left" vertical="center"/>
    </xf>
    <xf numFmtId="0" fontId="19" fillId="8" borderId="39" xfId="0" applyFont="1" applyFill="1" applyBorder="1" applyAlignment="1">
      <alignment vertical="top"/>
    </xf>
    <xf numFmtId="0" fontId="19" fillId="8" borderId="32" xfId="0" applyFont="1" applyFill="1" applyBorder="1" applyAlignment="1">
      <alignment vertical="top"/>
    </xf>
    <xf numFmtId="0" fontId="19" fillId="8" borderId="3" xfId="0" applyFont="1" applyFill="1" applyBorder="1" applyAlignment="1">
      <alignment vertical="top"/>
    </xf>
    <xf numFmtId="0" fontId="11" fillId="0" borderId="3" xfId="0" applyFont="1" applyBorder="1" applyAlignment="1">
      <alignment vertical="top"/>
    </xf>
    <xf numFmtId="1" fontId="11" fillId="0" borderId="20" xfId="0" applyNumberFormat="1" applyFont="1" applyBorder="1" applyAlignment="1">
      <alignment vertical="top"/>
    </xf>
    <xf numFmtId="1" fontId="31" fillId="0" borderId="4" xfId="0" applyNumberFormat="1" applyFont="1" applyBorder="1" applyAlignment="1">
      <alignment horizontal="right" vertical="center"/>
    </xf>
    <xf numFmtId="0" fontId="16" fillId="0" borderId="3" xfId="0" applyFont="1" applyBorder="1" applyAlignment="1">
      <alignment horizontal="left" vertical="center" wrapText="1"/>
    </xf>
    <xf numFmtId="1" fontId="11" fillId="10" borderId="20" xfId="0" applyNumberFormat="1" applyFont="1" applyFill="1" applyBorder="1" applyAlignment="1">
      <alignment horizontal="right"/>
    </xf>
    <xf numFmtId="0" fontId="19" fillId="8" borderId="3" xfId="17" applyFont="1" applyFill="1" applyBorder="1" applyAlignment="1">
      <alignment horizontal="left" vertical="center"/>
    </xf>
    <xf numFmtId="0" fontId="50" fillId="8" borderId="3" xfId="17" applyFont="1" applyFill="1" applyBorder="1" applyAlignment="1">
      <alignment horizontal="left" vertical="center"/>
    </xf>
    <xf numFmtId="1" fontId="50" fillId="2" borderId="20" xfId="0" applyNumberFormat="1" applyFont="1" applyFill="1" applyBorder="1" applyAlignment="1">
      <alignment horizontal="right"/>
    </xf>
    <xf numFmtId="0" fontId="50" fillId="0" borderId="3" xfId="17" applyFont="1" applyBorder="1" applyAlignment="1">
      <alignment horizontal="left" vertical="center"/>
    </xf>
    <xf numFmtId="1" fontId="52" fillId="10" borderId="20" xfId="0" applyNumberFormat="1" applyFont="1" applyFill="1" applyBorder="1" applyAlignment="1">
      <alignment horizontal="right"/>
    </xf>
    <xf numFmtId="17" fontId="10" fillId="10" borderId="23" xfId="0" applyNumberFormat="1" applyFont="1" applyFill="1" applyBorder="1" applyAlignment="1" applyProtection="1">
      <alignment vertical="center"/>
      <protection locked="0"/>
    </xf>
    <xf numFmtId="0" fontId="19" fillId="10" borderId="1" xfId="0" applyFont="1" applyFill="1" applyBorder="1" applyAlignment="1">
      <alignment horizontal="center" vertical="center" wrapText="1"/>
    </xf>
    <xf numFmtId="165" fontId="17" fillId="10" borderId="3" xfId="10" applyNumberFormat="1" applyFont="1" applyFill="1" applyBorder="1" applyAlignment="1">
      <alignment horizontal="right"/>
    </xf>
    <xf numFmtId="0" fontId="13" fillId="10" borderId="3" xfId="0" applyFont="1" applyFill="1" applyBorder="1" applyAlignment="1" applyProtection="1">
      <alignment horizontal="right"/>
      <protection locked="0"/>
    </xf>
    <xf numFmtId="2" fontId="13" fillId="10" borderId="3" xfId="0" applyNumberFormat="1" applyFont="1" applyFill="1" applyBorder="1" applyAlignment="1" applyProtection="1">
      <alignment horizontal="right"/>
      <protection locked="0"/>
    </xf>
    <xf numFmtId="169" fontId="11" fillId="10" borderId="3" xfId="0" applyNumberFormat="1" applyFont="1" applyFill="1" applyBorder="1" applyAlignment="1" applyProtection="1">
      <alignment horizontal="right"/>
      <protection locked="0"/>
    </xf>
    <xf numFmtId="166" fontId="13" fillId="10" borderId="3" xfId="0" applyNumberFormat="1" applyFont="1" applyFill="1" applyBorder="1" applyAlignment="1" applyProtection="1">
      <alignment horizontal="right"/>
      <protection locked="0"/>
    </xf>
    <xf numFmtId="0" fontId="14" fillId="10" borderId="3" xfId="0" applyFont="1" applyFill="1" applyBorder="1" applyAlignment="1">
      <alignment horizontal="right"/>
    </xf>
    <xf numFmtId="0" fontId="18" fillId="10" borderId="0" xfId="0" applyFont="1" applyFill="1" applyAlignment="1">
      <alignment horizontal="center"/>
    </xf>
    <xf numFmtId="165" fontId="11" fillId="10" borderId="27" xfId="0" applyNumberFormat="1" applyFont="1" applyFill="1" applyBorder="1" applyAlignment="1">
      <alignment vertical="center"/>
    </xf>
    <xf numFmtId="165" fontId="11" fillId="10" borderId="3" xfId="0" applyNumberFormat="1" applyFont="1" applyFill="1" applyBorder="1" applyAlignment="1">
      <alignment vertical="center"/>
    </xf>
    <xf numFmtId="165" fontId="11" fillId="10" borderId="3" xfId="0" applyNumberFormat="1" applyFont="1" applyFill="1" applyBorder="1"/>
    <xf numFmtId="0" fontId="14" fillId="10" borderId="0" xfId="0" applyFont="1" applyFill="1"/>
    <xf numFmtId="0" fontId="13" fillId="12" borderId="3" xfId="0" applyFont="1" applyFill="1" applyBorder="1" applyAlignment="1">
      <alignment horizontal="left" vertical="center" shrinkToFit="1"/>
    </xf>
    <xf numFmtId="0" fontId="13" fillId="12" borderId="3" xfId="0" applyFont="1" applyFill="1" applyBorder="1" applyAlignment="1">
      <alignment horizontal="center" vertical="center"/>
    </xf>
    <xf numFmtId="166" fontId="13" fillId="12" borderId="3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right"/>
    </xf>
    <xf numFmtId="1" fontId="13" fillId="12" borderId="20" xfId="0" applyNumberFormat="1" applyFont="1" applyFill="1" applyBorder="1" applyAlignment="1">
      <alignment horizontal="right"/>
    </xf>
    <xf numFmtId="0" fontId="11" fillId="12" borderId="3" xfId="25" applyFont="1" applyFill="1" applyBorder="1" applyAlignment="1">
      <alignment horizontal="left" vertical="center"/>
    </xf>
    <xf numFmtId="0" fontId="13" fillId="12" borderId="3" xfId="25" applyFont="1" applyFill="1" applyBorder="1" applyAlignment="1">
      <alignment horizontal="left" vertical="center"/>
    </xf>
    <xf numFmtId="0" fontId="34" fillId="8" borderId="3" xfId="0" applyFont="1" applyFill="1" applyBorder="1" applyAlignment="1" applyProtection="1">
      <alignment horizontal="right"/>
      <protection locked="0"/>
    </xf>
    <xf numFmtId="0" fontId="11" fillId="10" borderId="3" xfId="0" applyFont="1" applyFill="1" applyBorder="1" applyAlignment="1">
      <alignment horizontal="left" vertical="center"/>
    </xf>
    <xf numFmtId="0" fontId="13" fillId="10" borderId="3" xfId="0" applyFont="1" applyFill="1" applyBorder="1" applyAlignment="1">
      <alignment horizontal="center" vertical="center"/>
    </xf>
    <xf numFmtId="1" fontId="13" fillId="10" borderId="20" xfId="0" applyNumberFormat="1" applyFont="1" applyFill="1" applyBorder="1" applyAlignment="1">
      <alignment horizontal="right"/>
    </xf>
    <xf numFmtId="0" fontId="11" fillId="10" borderId="3" xfId="0" applyFont="1" applyFill="1" applyBorder="1" applyAlignment="1">
      <alignment vertical="center"/>
    </xf>
    <xf numFmtId="0" fontId="29" fillId="10" borderId="3" xfId="0" applyFont="1" applyFill="1" applyBorder="1" applyAlignment="1" applyProtection="1">
      <alignment horizontal="right"/>
      <protection locked="0"/>
    </xf>
    <xf numFmtId="0" fontId="13" fillId="8" borderId="9" xfId="0" applyFont="1" applyFill="1" applyBorder="1" applyAlignment="1">
      <alignment horizontal="right"/>
    </xf>
    <xf numFmtId="0" fontId="11" fillId="0" borderId="17" xfId="0" applyFont="1" applyBorder="1" applyAlignment="1">
      <alignment horizontal="right"/>
    </xf>
    <xf numFmtId="166" fontId="13" fillId="0" borderId="39" xfId="0" applyNumberFormat="1" applyFont="1" applyBorder="1" applyAlignment="1">
      <alignment horizontal="center" vertical="center"/>
    </xf>
    <xf numFmtId="0" fontId="11" fillId="0" borderId="3" xfId="12" applyFont="1" applyBorder="1" applyAlignment="1">
      <alignment horizontal="left" vertical="center"/>
    </xf>
    <xf numFmtId="167" fontId="13" fillId="2" borderId="3" xfId="0" applyNumberFormat="1" applyFont="1" applyFill="1" applyBorder="1" applyAlignment="1">
      <alignment horizontal="right" vertical="center"/>
    </xf>
    <xf numFmtId="1" fontId="13" fillId="2" borderId="20" xfId="0" applyNumberFormat="1" applyFont="1" applyFill="1" applyBorder="1" applyAlignment="1">
      <alignment horizontal="right" vertical="center"/>
    </xf>
    <xf numFmtId="0" fontId="13" fillId="2" borderId="3" xfId="0" applyFont="1" applyFill="1" applyBorder="1" applyAlignment="1">
      <alignment horizontal="right" vertical="center"/>
    </xf>
    <xf numFmtId="2" fontId="13" fillId="2" borderId="3" xfId="0" applyNumberFormat="1" applyFont="1" applyFill="1" applyBorder="1" applyAlignment="1">
      <alignment horizontal="right" vertical="center"/>
    </xf>
    <xf numFmtId="0" fontId="11" fillId="10" borderId="3" xfId="5" applyFont="1" applyFill="1" applyBorder="1" applyAlignment="1">
      <alignment horizontal="left" vertical="center"/>
    </xf>
    <xf numFmtId="0" fontId="19" fillId="12" borderId="3" xfId="0" applyFont="1" applyFill="1" applyBorder="1" applyAlignment="1">
      <alignment horizontal="center" vertical="center"/>
    </xf>
    <xf numFmtId="1" fontId="11" fillId="12" borderId="3" xfId="0" applyNumberFormat="1" applyFont="1" applyFill="1" applyBorder="1" applyAlignment="1" applyProtection="1">
      <alignment horizontal="right"/>
      <protection locked="0"/>
    </xf>
    <xf numFmtId="0" fontId="11" fillId="12" borderId="3" xfId="5" applyFont="1" applyFill="1" applyBorder="1" applyAlignment="1">
      <alignment horizontal="left" vertical="center"/>
    </xf>
    <xf numFmtId="2" fontId="11" fillId="1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4" fillId="9" borderId="19" xfId="0" applyFont="1" applyFill="1" applyBorder="1" applyAlignment="1">
      <alignment horizontal="right"/>
    </xf>
    <xf numFmtId="0" fontId="14" fillId="9" borderId="19" xfId="0" applyFont="1" applyFill="1" applyBorder="1"/>
    <xf numFmtId="0" fontId="19" fillId="9" borderId="24" xfId="0" applyFont="1" applyFill="1" applyBorder="1"/>
    <xf numFmtId="165" fontId="11" fillId="9" borderId="3" xfId="0" applyNumberFormat="1" applyFont="1" applyFill="1" applyBorder="1" applyAlignment="1">
      <alignment horizontal="center" vertical="center"/>
    </xf>
    <xf numFmtId="0" fontId="36" fillId="12" borderId="3" xfId="0" applyFont="1" applyFill="1" applyBorder="1" applyAlignment="1" applyProtection="1">
      <alignment horizontal="right"/>
      <protection locked="0"/>
    </xf>
    <xf numFmtId="0" fontId="52" fillId="2" borderId="3" xfId="0" applyFont="1" applyFill="1" applyBorder="1" applyAlignment="1">
      <alignment horizontal="right"/>
    </xf>
    <xf numFmtId="0" fontId="52" fillId="3" borderId="3" xfId="0" applyFont="1" applyFill="1" applyBorder="1" applyAlignment="1" applyProtection="1">
      <alignment horizontal="right"/>
      <protection locked="0"/>
    </xf>
    <xf numFmtId="2" fontId="11" fillId="12" borderId="3" xfId="0" applyNumberFormat="1" applyFont="1" applyFill="1" applyBorder="1" applyAlignment="1" applyProtection="1">
      <alignment horizontal="right"/>
      <protection locked="0"/>
    </xf>
    <xf numFmtId="1" fontId="42" fillId="0" borderId="3" xfId="25" applyNumberFormat="1" applyFont="1" applyBorder="1" applyAlignment="1">
      <alignment horizontal="right" vertical="center"/>
    </xf>
    <xf numFmtId="1" fontId="30" fillId="0" borderId="0" xfId="0" applyNumberFormat="1" applyFont="1"/>
    <xf numFmtId="0" fontId="11" fillId="15" borderId="3" xfId="0" applyFont="1" applyFill="1" applyBorder="1" applyAlignment="1" applyProtection="1">
      <alignment horizontal="right"/>
      <protection locked="0"/>
    </xf>
    <xf numFmtId="0" fontId="11" fillId="15" borderId="3" xfId="0" applyFont="1" applyFill="1" applyBorder="1" applyAlignment="1">
      <alignment horizontal="right"/>
    </xf>
    <xf numFmtId="169" fontId="11" fillId="15" borderId="3" xfId="0" applyNumberFormat="1" applyFont="1" applyFill="1" applyBorder="1" applyAlignment="1" applyProtection="1">
      <alignment horizontal="right"/>
      <protection locked="0"/>
    </xf>
    <xf numFmtId="0" fontId="13" fillId="15" borderId="3" xfId="0" applyFont="1" applyFill="1" applyBorder="1" applyAlignment="1" applyProtection="1">
      <alignment horizontal="right"/>
      <protection locked="0"/>
    </xf>
    <xf numFmtId="165" fontId="11" fillId="15" borderId="3" xfId="0" applyNumberFormat="1" applyFont="1" applyFill="1" applyBorder="1" applyAlignment="1" applyProtection="1">
      <alignment horizontal="right"/>
      <protection locked="0"/>
    </xf>
    <xf numFmtId="165" fontId="16" fillId="15" borderId="3" xfId="0" applyNumberFormat="1" applyFont="1" applyFill="1" applyBorder="1" applyAlignment="1">
      <alignment horizontal="right"/>
    </xf>
    <xf numFmtId="165" fontId="13" fillId="15" borderId="3" xfId="0" applyNumberFormat="1" applyFont="1" applyFill="1" applyBorder="1" applyAlignment="1" applyProtection="1">
      <alignment horizontal="right"/>
      <protection locked="0"/>
    </xf>
    <xf numFmtId="2" fontId="13" fillId="15" borderId="3" xfId="0" applyNumberFormat="1" applyFont="1" applyFill="1" applyBorder="1" applyAlignment="1" applyProtection="1">
      <alignment horizontal="right"/>
      <protection locked="0"/>
    </xf>
    <xf numFmtId="0" fontId="52" fillId="15" borderId="3" xfId="0" applyFont="1" applyFill="1" applyBorder="1" applyAlignment="1" applyProtection="1">
      <alignment horizontal="right"/>
      <protection locked="0"/>
    </xf>
    <xf numFmtId="166" fontId="52" fillId="15" borderId="3" xfId="0" applyNumberFormat="1" applyFont="1" applyFill="1" applyBorder="1" applyAlignment="1" applyProtection="1">
      <alignment horizontal="right"/>
      <protection locked="0"/>
    </xf>
    <xf numFmtId="166" fontId="13" fillId="15" borderId="3" xfId="0" applyNumberFormat="1" applyFont="1" applyFill="1" applyBorder="1" applyAlignment="1" applyProtection="1">
      <alignment horizontal="right"/>
      <protection locked="0"/>
    </xf>
    <xf numFmtId="166" fontId="11" fillId="15" borderId="3" xfId="0" applyNumberFormat="1" applyFont="1" applyFill="1" applyBorder="1" applyAlignment="1" applyProtection="1">
      <alignment horizontal="right"/>
      <protection locked="0"/>
    </xf>
    <xf numFmtId="167" fontId="11" fillId="15" borderId="3" xfId="0" applyNumberFormat="1" applyFont="1" applyFill="1" applyBorder="1" applyAlignment="1">
      <alignment horizontal="right" vertical="center"/>
    </xf>
    <xf numFmtId="2" fontId="11" fillId="15" borderId="3" xfId="0" applyNumberFormat="1" applyFont="1" applyFill="1" applyBorder="1" applyAlignment="1" applyProtection="1">
      <alignment horizontal="right"/>
      <protection locked="0"/>
    </xf>
    <xf numFmtId="0" fontId="36" fillId="15" borderId="3" xfId="0" applyFont="1" applyFill="1" applyBorder="1" applyAlignment="1" applyProtection="1">
      <alignment horizontal="right"/>
      <protection locked="0"/>
    </xf>
    <xf numFmtId="0" fontId="76" fillId="0" borderId="3" xfId="11" applyFont="1" applyBorder="1" applyAlignment="1">
      <alignment horizontal="left" vertical="center"/>
    </xf>
    <xf numFmtId="0" fontId="11" fillId="15" borderId="4" xfId="0" applyFont="1" applyFill="1" applyBorder="1" applyAlignment="1" applyProtection="1">
      <alignment horizontal="right"/>
      <protection locked="0"/>
    </xf>
    <xf numFmtId="0" fontId="29" fillId="15" borderId="3" xfId="0" applyFont="1" applyFill="1" applyBorder="1" applyAlignment="1">
      <alignment horizontal="right" vertical="center"/>
    </xf>
    <xf numFmtId="0" fontId="11" fillId="15" borderId="3" xfId="0" applyFont="1" applyFill="1" applyBorder="1" applyAlignment="1">
      <alignment vertical="top"/>
    </xf>
    <xf numFmtId="0" fontId="16" fillId="15" borderId="3" xfId="0" applyFont="1" applyFill="1" applyBorder="1" applyAlignment="1">
      <alignment horizontal="right"/>
    </xf>
    <xf numFmtId="0" fontId="17" fillId="15" borderId="3" xfId="0" applyFont="1" applyFill="1" applyBorder="1" applyAlignment="1">
      <alignment horizontal="right"/>
    </xf>
    <xf numFmtId="0" fontId="11" fillId="15" borderId="3" xfId="0" applyFont="1" applyFill="1" applyBorder="1" applyAlignment="1" applyProtection="1">
      <alignment horizontal="right" vertical="center"/>
      <protection locked="0"/>
    </xf>
    <xf numFmtId="0" fontId="17" fillId="15" borderId="3" xfId="4" applyFont="1" applyFill="1" applyBorder="1" applyAlignment="1">
      <alignment horizontal="right"/>
    </xf>
    <xf numFmtId="0" fontId="13" fillId="15" borderId="4" xfId="0" applyFont="1" applyFill="1" applyBorder="1" applyAlignment="1">
      <alignment horizontal="right"/>
    </xf>
    <xf numFmtId="0" fontId="17" fillId="15" borderId="3" xfId="9" applyFont="1" applyFill="1" applyBorder="1" applyAlignment="1">
      <alignment horizontal="right"/>
    </xf>
    <xf numFmtId="0" fontId="17" fillId="15" borderId="3" xfId="14" applyFont="1" applyFill="1" applyBorder="1" applyAlignment="1">
      <alignment horizontal="right"/>
    </xf>
    <xf numFmtId="0" fontId="17" fillId="15" borderId="3" xfId="15" applyFont="1" applyFill="1" applyBorder="1" applyAlignment="1">
      <alignment horizontal="right"/>
    </xf>
    <xf numFmtId="0" fontId="17" fillId="15" borderId="3" xfId="16" applyFont="1" applyFill="1" applyBorder="1" applyAlignment="1">
      <alignment horizontal="right"/>
    </xf>
    <xf numFmtId="0" fontId="17" fillId="15" borderId="3" xfId="23" applyFont="1" applyFill="1" applyBorder="1" applyAlignment="1">
      <alignment horizontal="right"/>
    </xf>
    <xf numFmtId="0" fontId="71" fillId="15" borderId="3" xfId="18" applyFont="1" applyFill="1" applyBorder="1" applyAlignment="1">
      <alignment horizontal="right"/>
    </xf>
    <xf numFmtId="0" fontId="17" fillId="15" borderId="3" xfId="19" applyFont="1" applyFill="1" applyBorder="1" applyAlignment="1">
      <alignment horizontal="right"/>
    </xf>
    <xf numFmtId="0" fontId="17" fillId="15" borderId="3" xfId="22" applyFont="1" applyFill="1" applyBorder="1" applyAlignment="1">
      <alignment horizontal="right"/>
    </xf>
    <xf numFmtId="170" fontId="11" fillId="15" borderId="3" xfId="0" applyNumberFormat="1" applyFont="1" applyFill="1" applyBorder="1" applyAlignment="1" applyProtection="1">
      <alignment horizontal="right"/>
      <protection locked="0"/>
    </xf>
    <xf numFmtId="170" fontId="11" fillId="15" borderId="3" xfId="0" applyNumberFormat="1" applyFont="1" applyFill="1" applyBorder="1" applyAlignment="1">
      <alignment vertical="center"/>
    </xf>
    <xf numFmtId="172" fontId="11" fillId="15" borderId="3" xfId="0" applyNumberFormat="1" applyFont="1" applyFill="1" applyBorder="1" applyAlignment="1">
      <alignment vertical="center"/>
    </xf>
    <xf numFmtId="169" fontId="11" fillId="15" borderId="3" xfId="0" applyNumberFormat="1" applyFont="1" applyFill="1" applyBorder="1" applyAlignment="1">
      <alignment vertical="center"/>
    </xf>
    <xf numFmtId="165" fontId="11" fillId="15" borderId="3" xfId="0" applyNumberFormat="1" applyFont="1" applyFill="1" applyBorder="1" applyAlignment="1">
      <alignment vertical="center"/>
    </xf>
    <xf numFmtId="2" fontId="11" fillId="15" borderId="27" xfId="0" applyNumberFormat="1" applyFont="1" applyFill="1" applyBorder="1" applyAlignment="1" applyProtection="1">
      <alignment horizontal="right" vertical="center"/>
      <protection locked="0"/>
    </xf>
    <xf numFmtId="2" fontId="11" fillId="15" borderId="3" xfId="0" applyNumberFormat="1" applyFont="1" applyFill="1" applyBorder="1" applyAlignment="1" applyProtection="1">
      <alignment horizontal="right" vertical="center"/>
      <protection locked="0"/>
    </xf>
    <xf numFmtId="166" fontId="11" fillId="15" borderId="3" xfId="0" applyNumberFormat="1" applyFont="1" applyFill="1" applyBorder="1" applyAlignment="1" applyProtection="1">
      <alignment horizontal="right" vertical="center"/>
      <protection locked="0"/>
    </xf>
    <xf numFmtId="165" fontId="11" fillId="15" borderId="3" xfId="0" applyNumberFormat="1" applyFont="1" applyFill="1" applyBorder="1" applyAlignment="1">
      <alignment horizontal="right" vertical="center"/>
    </xf>
    <xf numFmtId="169" fontId="11" fillId="15" borderId="3" xfId="0" applyNumberFormat="1" applyFont="1" applyFill="1" applyBorder="1" applyAlignment="1">
      <alignment horizontal="right" vertical="center"/>
    </xf>
    <xf numFmtId="166" fontId="11" fillId="15" borderId="3" xfId="0" applyNumberFormat="1" applyFont="1" applyFill="1" applyBorder="1" applyAlignment="1">
      <alignment horizontal="right" vertical="center"/>
    </xf>
    <xf numFmtId="166" fontId="11" fillId="2" borderId="3" xfId="0" applyNumberFormat="1" applyFont="1" applyFill="1" applyBorder="1" applyAlignment="1">
      <alignment horizontal="right"/>
    </xf>
    <xf numFmtId="165" fontId="52" fillId="15" borderId="3" xfId="0" applyNumberFormat="1" applyFont="1" applyFill="1" applyBorder="1" applyAlignment="1">
      <alignment horizontal="right" vertical="center"/>
    </xf>
    <xf numFmtId="2" fontId="52" fillId="15" borderId="3" xfId="0" applyNumberFormat="1" applyFont="1" applyFill="1" applyBorder="1" applyAlignment="1">
      <alignment horizontal="right" vertical="center"/>
    </xf>
    <xf numFmtId="2" fontId="11" fillId="15" borderId="3" xfId="0" applyNumberFormat="1" applyFont="1" applyFill="1" applyBorder="1" applyAlignment="1">
      <alignment horizontal="right"/>
    </xf>
    <xf numFmtId="166" fontId="11" fillId="15" borderId="3" xfId="33" applyNumberFormat="1" applyFont="1" applyFill="1" applyBorder="1" applyAlignment="1">
      <alignment vertical="center"/>
    </xf>
    <xf numFmtId="0" fontId="78" fillId="10" borderId="3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vertical="center"/>
    </xf>
    <xf numFmtId="3" fontId="0" fillId="0" borderId="0" xfId="0" applyNumberFormat="1"/>
    <xf numFmtId="0" fontId="69" fillId="16" borderId="3" xfId="0" applyFont="1" applyFill="1" applyBorder="1" applyProtection="1">
      <protection locked="0"/>
    </xf>
    <xf numFmtId="1" fontId="11" fillId="8" borderId="3" xfId="0" applyNumberFormat="1" applyFont="1" applyFill="1" applyBorder="1" applyAlignment="1">
      <alignment horizontal="center" vertical="center"/>
    </xf>
    <xf numFmtId="2" fontId="11" fillId="8" borderId="3" xfId="0" applyNumberFormat="1" applyFont="1" applyFill="1" applyBorder="1" applyAlignment="1">
      <alignment horizontal="center" vertical="center"/>
    </xf>
    <xf numFmtId="166" fontId="11" fillId="10" borderId="3" xfId="0" applyNumberFormat="1" applyFont="1" applyFill="1" applyBorder="1" applyAlignment="1" applyProtection="1">
      <alignment horizontal="right"/>
      <protection locked="0"/>
    </xf>
    <xf numFmtId="1" fontId="12" fillId="8" borderId="20" xfId="0" applyNumberFormat="1" applyFont="1" applyFill="1" applyBorder="1" applyAlignment="1">
      <alignment horizontal="right"/>
    </xf>
    <xf numFmtId="1" fontId="12" fillId="3" borderId="20" xfId="0" applyNumberFormat="1" applyFont="1" applyFill="1" applyBorder="1" applyAlignment="1">
      <alignment horizontal="right"/>
    </xf>
    <xf numFmtId="0" fontId="12" fillId="3" borderId="20" xfId="0" applyFont="1" applyFill="1" applyBorder="1" applyAlignment="1">
      <alignment horizontal="right"/>
    </xf>
    <xf numFmtId="1" fontId="75" fillId="8" borderId="20" xfId="0" applyNumberFormat="1" applyFont="1" applyFill="1" applyBorder="1" applyAlignment="1">
      <alignment horizontal="right"/>
    </xf>
    <xf numFmtId="0" fontId="13" fillId="17" borderId="3" xfId="25" applyFont="1" applyFill="1" applyBorder="1" applyAlignment="1">
      <alignment horizontal="left" vertical="center"/>
    </xf>
    <xf numFmtId="2" fontId="17" fillId="18" borderId="4" xfId="10" applyNumberFormat="1" applyFont="1" applyFill="1" applyBorder="1" applyAlignment="1">
      <alignment horizontal="right" wrapText="1"/>
    </xf>
    <xf numFmtId="2" fontId="17" fillId="18" borderId="3" xfId="10" applyNumberFormat="1" applyFont="1" applyFill="1" applyBorder="1" applyAlignment="1">
      <alignment horizontal="right" wrapText="1"/>
    </xf>
    <xf numFmtId="1" fontId="17" fillId="18" borderId="3" xfId="10" applyNumberFormat="1" applyFont="1" applyFill="1" applyBorder="1" applyAlignment="1">
      <alignment horizontal="right" wrapText="1"/>
    </xf>
    <xf numFmtId="165" fontId="17" fillId="18" borderId="3" xfId="10" applyNumberFormat="1" applyFont="1" applyFill="1" applyBorder="1" applyAlignment="1">
      <alignment horizontal="right" wrapText="1"/>
    </xf>
    <xf numFmtId="2" fontId="17" fillId="18" borderId="3" xfId="10" applyNumberFormat="1" applyFont="1" applyFill="1" applyBorder="1" applyAlignment="1">
      <alignment horizontal="right"/>
    </xf>
    <xf numFmtId="1" fontId="13" fillId="18" borderId="20" xfId="0" applyNumberFormat="1" applyFont="1" applyFill="1" applyBorder="1" applyAlignment="1">
      <alignment horizontal="right"/>
    </xf>
    <xf numFmtId="165" fontId="17" fillId="18" borderId="3" xfId="10" applyNumberFormat="1" applyFont="1" applyFill="1" applyBorder="1" applyAlignment="1">
      <alignment horizontal="right"/>
    </xf>
    <xf numFmtId="1" fontId="74" fillId="8" borderId="20" xfId="0" applyNumberFormat="1" applyFont="1" applyFill="1" applyBorder="1" applyAlignment="1">
      <alignment horizontal="right"/>
    </xf>
    <xf numFmtId="1" fontId="11" fillId="2" borderId="3" xfId="0" applyNumberFormat="1" applyFont="1" applyFill="1" applyBorder="1" applyAlignment="1" applyProtection="1">
      <alignment horizontal="right"/>
      <protection locked="0"/>
    </xf>
    <xf numFmtId="1" fontId="12" fillId="8" borderId="39" xfId="0" applyNumberFormat="1" applyFont="1" applyFill="1" applyBorder="1" applyAlignment="1">
      <alignment horizontal="right"/>
    </xf>
    <xf numFmtId="1" fontId="12" fillId="8" borderId="33" xfId="0" applyNumberFormat="1" applyFont="1" applyFill="1" applyBorder="1" applyAlignment="1">
      <alignment vertical="top"/>
    </xf>
    <xf numFmtId="1" fontId="12" fillId="8" borderId="20" xfId="0" applyNumberFormat="1" applyFont="1" applyFill="1" applyBorder="1" applyAlignment="1">
      <alignment vertical="top"/>
    </xf>
    <xf numFmtId="0" fontId="75" fillId="3" borderId="20" xfId="0" applyFont="1" applyFill="1" applyBorder="1" applyAlignment="1">
      <alignment horizontal="right"/>
    </xf>
    <xf numFmtId="0" fontId="11" fillId="19" borderId="3" xfId="0" applyFont="1" applyFill="1" applyBorder="1" applyAlignment="1" applyProtection="1">
      <alignment horizontal="right"/>
      <protection locked="0"/>
    </xf>
    <xf numFmtId="165" fontId="11" fillId="20" borderId="3" xfId="0" applyNumberFormat="1" applyFont="1" applyFill="1" applyBorder="1" applyAlignment="1">
      <alignment horizontal="right"/>
    </xf>
    <xf numFmtId="165" fontId="13" fillId="20" borderId="3" xfId="0" applyNumberFormat="1" applyFont="1" applyFill="1" applyBorder="1" applyAlignment="1" applyProtection="1">
      <alignment horizontal="right"/>
      <protection locked="0"/>
    </xf>
    <xf numFmtId="0" fontId="41" fillId="0" borderId="0" xfId="20" applyFont="1" applyAlignment="1">
      <alignment horizontal="center" vertical="center"/>
    </xf>
    <xf numFmtId="0" fontId="41" fillId="0" borderId="0" xfId="20" applyFont="1" applyAlignment="1">
      <alignment vertical="center"/>
    </xf>
    <xf numFmtId="2" fontId="13" fillId="12" borderId="3" xfId="0" applyNumberFormat="1" applyFont="1" applyFill="1" applyBorder="1" applyAlignment="1">
      <alignment horizontal="center" vertical="center"/>
    </xf>
    <xf numFmtId="0" fontId="11" fillId="12" borderId="46" xfId="0" applyFont="1" applyFill="1" applyBorder="1" applyAlignment="1" applyProtection="1">
      <alignment vertical="center"/>
      <protection locked="0"/>
    </xf>
    <xf numFmtId="0" fontId="11" fillId="12" borderId="1" xfId="0" applyFont="1" applyFill="1" applyBorder="1" applyAlignment="1" applyProtection="1">
      <alignment vertical="center"/>
      <protection locked="0"/>
    </xf>
    <xf numFmtId="1" fontId="68" fillId="0" borderId="0" xfId="27" applyNumberFormat="1" applyFont="1"/>
    <xf numFmtId="0" fontId="13" fillId="18" borderId="3" xfId="0" applyFont="1" applyFill="1" applyBorder="1" applyAlignment="1" applyProtection="1">
      <alignment horizontal="right"/>
      <protection locked="0"/>
    </xf>
    <xf numFmtId="1" fontId="77" fillId="0" borderId="20" xfId="0" applyNumberFormat="1" applyFont="1" applyBorder="1" applyAlignment="1">
      <alignment horizontal="right"/>
    </xf>
    <xf numFmtId="0" fontId="32" fillId="0" borderId="0" xfId="0" applyFont="1" applyAlignment="1">
      <alignment vertical="center" wrapText="1"/>
    </xf>
    <xf numFmtId="0" fontId="32" fillId="0" borderId="0" xfId="0" applyFont="1" applyAlignment="1">
      <alignment vertical="center"/>
    </xf>
    <xf numFmtId="0" fontId="32" fillId="0" borderId="0" xfId="0" applyFont="1" applyAlignment="1">
      <alignment wrapText="1"/>
    </xf>
    <xf numFmtId="0" fontId="66" fillId="0" borderId="1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17" fontId="66" fillId="0" borderId="1" xfId="0" applyNumberFormat="1" applyFont="1" applyBorder="1" applyAlignment="1">
      <alignment horizontal="center" wrapText="1"/>
    </xf>
    <xf numFmtId="1" fontId="12" fillId="0" borderId="20" xfId="0" applyNumberFormat="1" applyFont="1" applyBorder="1" applyAlignment="1">
      <alignment horizontal="right"/>
    </xf>
    <xf numFmtId="1" fontId="29" fillId="0" borderId="20" xfId="0" applyNumberFormat="1" applyFont="1" applyBorder="1" applyAlignment="1">
      <alignment horizontal="right"/>
    </xf>
    <xf numFmtId="0" fontId="81" fillId="0" borderId="3" xfId="0" applyFont="1" applyBorder="1" applyAlignment="1" applyProtection="1">
      <alignment vertical="center" wrapText="1"/>
      <protection locked="0"/>
    </xf>
    <xf numFmtId="0" fontId="81" fillId="8" borderId="3" xfId="0" applyFont="1" applyFill="1" applyBorder="1" applyAlignment="1" applyProtection="1">
      <alignment vertical="center" wrapText="1"/>
      <protection locked="0"/>
    </xf>
    <xf numFmtId="1" fontId="42" fillId="0" borderId="3" xfId="0" applyNumberFormat="1" applyFont="1" applyBorder="1" applyAlignment="1">
      <alignment wrapText="1"/>
    </xf>
    <xf numFmtId="0" fontId="42" fillId="0" borderId="3" xfId="0" applyFont="1" applyBorder="1" applyAlignment="1">
      <alignment horizontal="right"/>
    </xf>
    <xf numFmtId="1" fontId="42" fillId="0" borderId="3" xfId="0" applyNumberFormat="1" applyFont="1" applyBorder="1" applyAlignment="1">
      <alignment horizontal="right"/>
    </xf>
    <xf numFmtId="1" fontId="41" fillId="0" borderId="3" xfId="0" applyNumberFormat="1" applyFont="1" applyBorder="1"/>
    <xf numFmtId="1" fontId="42" fillId="0" borderId="3" xfId="0" applyNumberFormat="1" applyFont="1" applyBorder="1"/>
    <xf numFmtId="168" fontId="41" fillId="0" borderId="3" xfId="1" applyNumberFormat="1" applyFont="1" applyFill="1" applyBorder="1" applyAlignment="1" applyProtection="1">
      <alignment horizontal="left" vertical="center"/>
    </xf>
    <xf numFmtId="1" fontId="42" fillId="0" borderId="20" xfId="0" applyNumberFormat="1" applyFont="1" applyBorder="1" applyAlignment="1">
      <alignment wrapText="1"/>
    </xf>
    <xf numFmtId="0" fontId="42" fillId="0" borderId="21" xfId="0" applyFont="1" applyBorder="1" applyAlignment="1">
      <alignment horizontal="right"/>
    </xf>
    <xf numFmtId="1" fontId="42" fillId="0" borderId="20" xfId="0" applyNumberFormat="1" applyFont="1" applyBorder="1" applyAlignment="1">
      <alignment horizontal="right"/>
    </xf>
    <xf numFmtId="1" fontId="42" fillId="0" borderId="20" xfId="0" applyNumberFormat="1" applyFont="1" applyBorder="1"/>
    <xf numFmtId="0" fontId="45" fillId="0" borderId="21" xfId="0" applyFont="1" applyBorder="1" applyAlignment="1">
      <alignment horizontal="center" vertical="center"/>
    </xf>
    <xf numFmtId="0" fontId="41" fillId="0" borderId="19" xfId="0" applyFont="1" applyBorder="1"/>
    <xf numFmtId="2" fontId="41" fillId="0" borderId="19" xfId="0" applyNumberFormat="1" applyFont="1" applyBorder="1"/>
    <xf numFmtId="0" fontId="42" fillId="0" borderId="17" xfId="0" applyFont="1" applyBorder="1" applyAlignment="1">
      <alignment horizontal="right" vertical="center"/>
    </xf>
    <xf numFmtId="1" fontId="41" fillId="0" borderId="19" xfId="0" applyNumberFormat="1" applyFont="1" applyBorder="1" applyAlignment="1">
      <alignment wrapText="1"/>
    </xf>
    <xf numFmtId="1" fontId="41" fillId="0" borderId="24" xfId="0" applyNumberFormat="1" applyFont="1" applyBorder="1" applyAlignment="1">
      <alignment wrapText="1"/>
    </xf>
    <xf numFmtId="0" fontId="42" fillId="0" borderId="26" xfId="0" applyFont="1" applyBorder="1" applyAlignment="1">
      <alignment horizontal="center" vertical="center" wrapText="1"/>
    </xf>
    <xf numFmtId="1" fontId="41" fillId="0" borderId="19" xfId="0" applyNumberFormat="1" applyFont="1" applyBorder="1" applyAlignment="1">
      <alignment horizontal="right"/>
    </xf>
    <xf numFmtId="0" fontId="42" fillId="0" borderId="26" xfId="0" applyFont="1" applyBorder="1" applyAlignment="1">
      <alignment horizontal="center"/>
    </xf>
    <xf numFmtId="0" fontId="41" fillId="0" borderId="27" xfId="0" applyFont="1" applyBorder="1"/>
    <xf numFmtId="1" fontId="42" fillId="0" borderId="27" xfId="0" applyNumberFormat="1" applyFont="1" applyBorder="1"/>
    <xf numFmtId="1" fontId="53" fillId="0" borderId="28" xfId="0" applyNumberFormat="1" applyFont="1" applyBorder="1"/>
    <xf numFmtId="0" fontId="42" fillId="0" borderId="35" xfId="0" applyFont="1" applyBorder="1" applyAlignment="1">
      <alignment horizontal="center"/>
    </xf>
    <xf numFmtId="1" fontId="42" fillId="0" borderId="19" xfId="0" applyNumberFormat="1" applyFont="1" applyBorder="1"/>
    <xf numFmtId="1" fontId="53" fillId="0" borderId="24" xfId="0" applyNumberFormat="1" applyFont="1" applyBorder="1"/>
    <xf numFmtId="1" fontId="42" fillId="0" borderId="28" xfId="0" applyNumberFormat="1" applyFont="1" applyBorder="1"/>
    <xf numFmtId="1" fontId="41" fillId="0" borderId="19" xfId="0" applyNumberFormat="1" applyFont="1" applyBorder="1"/>
    <xf numFmtId="0" fontId="42" fillId="0" borderId="26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0" fillId="0" borderId="2" xfId="0" applyBorder="1"/>
    <xf numFmtId="0" fontId="11" fillId="0" borderId="3" xfId="0" applyFont="1" applyBorder="1" applyAlignment="1">
      <alignment horizontal="left"/>
    </xf>
    <xf numFmtId="165" fontId="11" fillId="0" borderId="3" xfId="0" applyNumberFormat="1" applyFont="1" applyBorder="1"/>
    <xf numFmtId="0" fontId="46" fillId="0" borderId="19" xfId="0" applyFont="1" applyBorder="1" applyAlignment="1">
      <alignment vertical="center"/>
    </xf>
    <xf numFmtId="0" fontId="31" fillId="17" borderId="1" xfId="0" applyFont="1" applyFill="1" applyBorder="1" applyAlignment="1">
      <alignment horizontal="center" vertical="center"/>
    </xf>
    <xf numFmtId="1" fontId="40" fillId="17" borderId="27" xfId="0" applyNumberFormat="1" applyFont="1" applyFill="1" applyBorder="1"/>
    <xf numFmtId="0" fontId="40" fillId="0" borderId="3" xfId="0" applyFont="1" applyBorder="1"/>
    <xf numFmtId="1" fontId="40" fillId="17" borderId="3" xfId="0" applyNumberFormat="1" applyFont="1" applyFill="1" applyBorder="1"/>
    <xf numFmtId="0" fontId="40" fillId="0" borderId="3" xfId="0" applyFont="1" applyBorder="1" applyAlignment="1">
      <alignment vertical="center" wrapText="1"/>
    </xf>
    <xf numFmtId="1" fontId="40" fillId="17" borderId="3" xfId="0" applyNumberFormat="1" applyFont="1" applyFill="1" applyBorder="1" applyAlignment="1">
      <alignment vertical="center"/>
    </xf>
    <xf numFmtId="1" fontId="31" fillId="17" borderId="3" xfId="0" applyNumberFormat="1" applyFont="1" applyFill="1" applyBorder="1"/>
    <xf numFmtId="0" fontId="40" fillId="17" borderId="3" xfId="0" applyFont="1" applyFill="1" applyBorder="1"/>
    <xf numFmtId="0" fontId="40" fillId="0" borderId="3" xfId="0" applyFont="1" applyBorder="1" applyAlignment="1">
      <alignment horizontal="left" vertical="center" wrapText="1"/>
    </xf>
    <xf numFmtId="1" fontId="30" fillId="10" borderId="0" xfId="0" applyNumberFormat="1" applyFont="1" applyFill="1"/>
    <xf numFmtId="0" fontId="40" fillId="10" borderId="3" xfId="0" applyFont="1" applyFill="1" applyBorder="1" applyAlignment="1">
      <alignment vertical="center" wrapText="1"/>
    </xf>
    <xf numFmtId="0" fontId="40" fillId="10" borderId="3" xfId="0" applyFont="1" applyFill="1" applyBorder="1" applyAlignment="1">
      <alignment horizontal="center" vertical="center"/>
    </xf>
    <xf numFmtId="0" fontId="40" fillId="0" borderId="19" xfId="0" applyFont="1" applyBorder="1"/>
    <xf numFmtId="1" fontId="31" fillId="17" borderId="19" xfId="0" applyNumberFormat="1" applyFont="1" applyFill="1" applyBorder="1" applyAlignment="1">
      <alignment vertical="center"/>
    </xf>
    <xf numFmtId="0" fontId="40" fillId="0" borderId="27" xfId="0" applyFont="1" applyBorder="1" applyAlignment="1">
      <alignment vertical="center" wrapText="1"/>
    </xf>
    <xf numFmtId="0" fontId="40" fillId="0" borderId="3" xfId="0" applyFont="1" applyBorder="1" applyAlignment="1">
      <alignment vertical="center"/>
    </xf>
    <xf numFmtId="0" fontId="71" fillId="0" borderId="3" xfId="0" applyFont="1" applyBorder="1" applyAlignment="1">
      <alignment vertical="center" wrapText="1"/>
    </xf>
    <xf numFmtId="1" fontId="30" fillId="0" borderId="0" xfId="0" applyNumberFormat="1" applyFont="1" applyAlignment="1">
      <alignment vertical="center"/>
    </xf>
    <xf numFmtId="0" fontId="30" fillId="0" borderId="3" xfId="0" applyFont="1" applyBorder="1" applyAlignment="1">
      <alignment horizontal="center"/>
    </xf>
    <xf numFmtId="0" fontId="40" fillId="0" borderId="19" xfId="0" applyFont="1" applyBorder="1" applyAlignment="1">
      <alignment horizontal="center"/>
    </xf>
    <xf numFmtId="1" fontId="31" fillId="17" borderId="19" xfId="0" applyNumberFormat="1" applyFont="1" applyFill="1" applyBorder="1"/>
    <xf numFmtId="0" fontId="40" fillId="10" borderId="27" xfId="0" applyFont="1" applyFill="1" applyBorder="1" applyAlignment="1">
      <alignment horizontal="center" vertical="center"/>
    </xf>
    <xf numFmtId="0" fontId="40" fillId="0" borderId="3" xfId="0" applyFont="1" applyBorder="1" applyAlignment="1">
      <alignment horizontal="left" vertical="center"/>
    </xf>
    <xf numFmtId="0" fontId="64" fillId="0" borderId="3" xfId="0" applyFont="1" applyBorder="1" applyAlignment="1">
      <alignment vertical="center" wrapText="1"/>
    </xf>
    <xf numFmtId="1" fontId="42" fillId="0" borderId="39" xfId="0" applyNumberFormat="1" applyFont="1" applyBorder="1" applyAlignment="1">
      <alignment wrapText="1"/>
    </xf>
    <xf numFmtId="1" fontId="41" fillId="0" borderId="43" xfId="0" applyNumberFormat="1" applyFont="1" applyBorder="1" applyAlignment="1">
      <alignment wrapText="1"/>
    </xf>
    <xf numFmtId="1" fontId="42" fillId="0" borderId="39" xfId="0" applyNumberFormat="1" applyFont="1" applyBorder="1" applyAlignment="1">
      <alignment horizontal="right"/>
    </xf>
    <xf numFmtId="1" fontId="41" fillId="0" borderId="43" xfId="0" applyNumberFormat="1" applyFont="1" applyBorder="1" applyAlignment="1">
      <alignment horizontal="right"/>
    </xf>
    <xf numFmtId="1" fontId="42" fillId="0" borderId="51" xfId="0" applyNumberFormat="1" applyFont="1" applyBorder="1"/>
    <xf numFmtId="1" fontId="42" fillId="0" borderId="43" xfId="0" applyNumberFormat="1" applyFont="1" applyBorder="1"/>
    <xf numFmtId="1" fontId="42" fillId="0" borderId="39" xfId="0" applyNumberFormat="1" applyFont="1" applyBorder="1"/>
    <xf numFmtId="0" fontId="40" fillId="0" borderId="4" xfId="0" applyFont="1" applyBorder="1" applyAlignment="1">
      <alignment vertical="center" wrapText="1"/>
    </xf>
    <xf numFmtId="1" fontId="40" fillId="17" borderId="4" xfId="0" applyNumberFormat="1" applyFont="1" applyFill="1" applyBorder="1"/>
    <xf numFmtId="0" fontId="40" fillId="0" borderId="4" xfId="0" applyFont="1" applyBorder="1" applyAlignment="1">
      <alignment horizontal="center"/>
    </xf>
    <xf numFmtId="1" fontId="30" fillId="0" borderId="6" xfId="0" applyNumberFormat="1" applyFont="1" applyBorder="1"/>
    <xf numFmtId="1" fontId="30" fillId="0" borderId="14" xfId="0" applyNumberFormat="1" applyFont="1" applyBorder="1"/>
    <xf numFmtId="0" fontId="48" fillId="2" borderId="3" xfId="0" applyFont="1" applyFill="1" applyBorder="1" applyAlignment="1">
      <alignment vertical="center"/>
    </xf>
    <xf numFmtId="0" fontId="48" fillId="2" borderId="9" xfId="0" applyFont="1" applyFill="1" applyBorder="1" applyAlignment="1">
      <alignment vertical="center"/>
    </xf>
    <xf numFmtId="0" fontId="48" fillId="2" borderId="4" xfId="0" applyFont="1" applyFill="1" applyBorder="1" applyAlignment="1">
      <alignment vertical="center"/>
    </xf>
    <xf numFmtId="1" fontId="11" fillId="15" borderId="3" xfId="0" applyNumberFormat="1" applyFont="1" applyFill="1" applyBorder="1" applyAlignment="1">
      <alignment horizontal="right"/>
    </xf>
    <xf numFmtId="1" fontId="42" fillId="0" borderId="3" xfId="17" applyNumberFormat="1" applyFont="1" applyBorder="1" applyAlignment="1">
      <alignment horizontal="right" vertical="center"/>
    </xf>
    <xf numFmtId="0" fontId="11" fillId="0" borderId="4" xfId="0" applyFont="1" applyBorder="1" applyAlignment="1">
      <alignment horizontal="center" vertical="center" wrapText="1"/>
    </xf>
    <xf numFmtId="0" fontId="48" fillId="2" borderId="3" xfId="0" applyFont="1" applyFill="1" applyBorder="1" applyAlignment="1">
      <alignment horizontal="left" vertical="center" shrinkToFit="1"/>
    </xf>
    <xf numFmtId="0" fontId="18" fillId="2" borderId="21" xfId="0" applyFont="1" applyFill="1" applyBorder="1" applyAlignment="1">
      <alignment vertical="center" textRotation="90"/>
    </xf>
    <xf numFmtId="166" fontId="11" fillId="9" borderId="3" xfId="0" applyNumberFormat="1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right"/>
    </xf>
    <xf numFmtId="1" fontId="41" fillId="0" borderId="24" xfId="0" applyNumberFormat="1" applyFont="1" applyBorder="1" applyAlignment="1">
      <alignment horizontal="right"/>
    </xf>
    <xf numFmtId="1" fontId="41" fillId="0" borderId="24" xfId="0" applyNumberFormat="1" applyFont="1" applyBorder="1"/>
    <xf numFmtId="1" fontId="41" fillId="0" borderId="28" xfId="0" applyNumberFormat="1" applyFont="1" applyBorder="1"/>
    <xf numFmtId="2" fontId="41" fillId="0" borderId="24" xfId="0" applyNumberFormat="1" applyFont="1" applyBorder="1"/>
    <xf numFmtId="0" fontId="42" fillId="0" borderId="21" xfId="0" applyFont="1" applyBorder="1" applyAlignment="1">
      <alignment horizontal="right" vertical="center" wrapText="1"/>
    </xf>
    <xf numFmtId="0" fontId="0" fillId="0" borderId="38" xfId="0" applyBorder="1"/>
    <xf numFmtId="1" fontId="41" fillId="0" borderId="43" xfId="0" applyNumberFormat="1" applyFont="1" applyBorder="1"/>
    <xf numFmtId="1" fontId="41" fillId="0" borderId="53" xfId="0" applyNumberFormat="1" applyFont="1" applyBorder="1"/>
    <xf numFmtId="2" fontId="41" fillId="0" borderId="43" xfId="0" applyNumberFormat="1" applyFont="1" applyBorder="1"/>
    <xf numFmtId="0" fontId="19" fillId="0" borderId="3" xfId="0" applyFont="1" applyBorder="1" applyAlignment="1">
      <alignment vertical="top"/>
    </xf>
    <xf numFmtId="1" fontId="29" fillId="0" borderId="20" xfId="0" applyNumberFormat="1" applyFont="1" applyBorder="1" applyAlignment="1">
      <alignment vertical="top"/>
    </xf>
    <xf numFmtId="166" fontId="11" fillId="15" borderId="3" xfId="0" applyNumberFormat="1" applyFont="1" applyFill="1" applyBorder="1" applyAlignment="1">
      <alignment horizontal="right"/>
    </xf>
    <xf numFmtId="0" fontId="11" fillId="8" borderId="3" xfId="0" applyFont="1" applyFill="1" applyBorder="1" applyAlignment="1">
      <alignment vertical="top"/>
    </xf>
    <xf numFmtId="1" fontId="12" fillId="0" borderId="20" xfId="0" applyNumberFormat="1" applyFont="1" applyBorder="1" applyAlignment="1">
      <alignment vertical="top"/>
    </xf>
    <xf numFmtId="0" fontId="11" fillId="8" borderId="3" xfId="0" applyFont="1" applyFill="1" applyBorder="1" applyAlignment="1">
      <alignment horizontal="left"/>
    </xf>
    <xf numFmtId="0" fontId="11" fillId="8" borderId="3" xfId="0" applyFont="1" applyFill="1" applyBorder="1"/>
    <xf numFmtId="0" fontId="18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18" fillId="10" borderId="1" xfId="0" applyFont="1" applyFill="1" applyBorder="1" applyAlignment="1">
      <alignment horizontal="center"/>
    </xf>
    <xf numFmtId="166" fontId="13" fillId="15" borderId="3" xfId="0" applyNumberFormat="1" applyFont="1" applyFill="1" applyBorder="1" applyAlignment="1">
      <alignment horizontal="center" vertical="center"/>
    </xf>
    <xf numFmtId="0" fontId="11" fillId="10" borderId="3" xfId="17" applyFont="1" applyFill="1" applyBorder="1" applyAlignment="1">
      <alignment horizontal="left" vertical="center"/>
    </xf>
    <xf numFmtId="17" fontId="31" fillId="0" borderId="1" xfId="0" quotePrefix="1" applyNumberFormat="1" applyFont="1" applyBorder="1" applyAlignment="1">
      <alignment horizontal="center" vertical="center"/>
    </xf>
    <xf numFmtId="0" fontId="102" fillId="2" borderId="3" xfId="0" applyFont="1" applyFill="1" applyBorder="1" applyAlignment="1">
      <alignment horizontal="left" vertical="center"/>
    </xf>
    <xf numFmtId="0" fontId="102" fillId="2" borderId="3" xfId="0" applyFont="1" applyFill="1" applyBorder="1" applyAlignment="1">
      <alignment horizontal="center" vertical="center"/>
    </xf>
    <xf numFmtId="166" fontId="102" fillId="2" borderId="3" xfId="0" applyNumberFormat="1" applyFont="1" applyFill="1" applyBorder="1" applyAlignment="1">
      <alignment horizontal="center" vertical="center"/>
    </xf>
    <xf numFmtId="0" fontId="103" fillId="15" borderId="3" xfId="6" applyFont="1" applyFill="1" applyBorder="1" applyAlignment="1">
      <alignment horizontal="right"/>
    </xf>
    <xf numFmtId="0" fontId="102" fillId="2" borderId="3" xfId="0" applyFont="1" applyFill="1" applyBorder="1" applyAlignment="1">
      <alignment horizontal="right"/>
    </xf>
    <xf numFmtId="1" fontId="102" fillId="2" borderId="20" xfId="0" applyNumberFormat="1" applyFont="1" applyFill="1" applyBorder="1" applyAlignment="1">
      <alignment horizontal="right"/>
    </xf>
    <xf numFmtId="0" fontId="104" fillId="8" borderId="3" xfId="0" applyFont="1" applyFill="1" applyBorder="1" applyAlignment="1">
      <alignment horizontal="left" vertical="center"/>
    </xf>
    <xf numFmtId="0" fontId="104" fillId="8" borderId="3" xfId="0" applyFont="1" applyFill="1" applyBorder="1" applyAlignment="1">
      <alignment horizontal="center" vertical="center"/>
    </xf>
    <xf numFmtId="166" fontId="102" fillId="8" borderId="3" xfId="0" applyNumberFormat="1" applyFont="1" applyFill="1" applyBorder="1" applyAlignment="1">
      <alignment horizontal="center" vertical="center"/>
    </xf>
    <xf numFmtId="0" fontId="102" fillId="8" borderId="3" xfId="0" applyFont="1" applyFill="1" applyBorder="1" applyAlignment="1">
      <alignment horizontal="right"/>
    </xf>
    <xf numFmtId="0" fontId="104" fillId="8" borderId="3" xfId="0" applyFont="1" applyFill="1" applyBorder="1" applyAlignment="1">
      <alignment horizontal="right"/>
    </xf>
    <xf numFmtId="1" fontId="105" fillId="8" borderId="20" xfId="0" applyNumberFormat="1" applyFont="1" applyFill="1" applyBorder="1" applyAlignment="1">
      <alignment horizontal="right"/>
    </xf>
    <xf numFmtId="0" fontId="13" fillId="43" borderId="3" xfId="0" applyFont="1" applyFill="1" applyBorder="1" applyAlignment="1">
      <alignment horizontal="left" vertical="center"/>
    </xf>
    <xf numFmtId="1" fontId="40" fillId="18" borderId="7" xfId="0" quotePrefix="1" applyNumberFormat="1" applyFont="1" applyFill="1" applyBorder="1" applyAlignment="1">
      <alignment horizontal="right" vertical="center"/>
    </xf>
    <xf numFmtId="1" fontId="40" fillId="18" borderId="3" xfId="0" applyNumberFormat="1" applyFont="1" applyFill="1" applyBorder="1" applyAlignment="1">
      <alignment horizontal="right" vertical="center"/>
    </xf>
    <xf numFmtId="1" fontId="31" fillId="18" borderId="3" xfId="0" applyNumberFormat="1" applyFont="1" applyFill="1" applyBorder="1" applyAlignment="1">
      <alignment horizontal="right" vertical="center"/>
    </xf>
    <xf numFmtId="1" fontId="40" fillId="18" borderId="3" xfId="0" applyNumberFormat="1" applyFont="1" applyFill="1" applyBorder="1"/>
    <xf numFmtId="12" fontId="11" fillId="2" borderId="3" xfId="0" applyNumberFormat="1" applyFont="1" applyFill="1" applyBorder="1" applyAlignment="1">
      <alignment horizontal="right" vertical="center"/>
    </xf>
    <xf numFmtId="0" fontId="11" fillId="44" borderId="3" xfId="0" applyFont="1" applyFill="1" applyBorder="1" applyAlignment="1" applyProtection="1">
      <alignment horizontal="right"/>
      <protection locked="0"/>
    </xf>
    <xf numFmtId="0" fontId="40" fillId="0" borderId="9" xfId="0" applyFont="1" applyBorder="1"/>
    <xf numFmtId="0" fontId="40" fillId="0" borderId="9" xfId="0" applyFont="1" applyBorder="1" applyAlignment="1">
      <alignment horizontal="center"/>
    </xf>
    <xf numFmtId="1" fontId="31" fillId="17" borderId="9" xfId="0" applyNumberFormat="1" applyFont="1" applyFill="1" applyBorder="1"/>
    <xf numFmtId="0" fontId="40" fillId="0" borderId="9" xfId="0" applyFont="1" applyBorder="1" applyAlignment="1">
      <alignment horizontal="left"/>
    </xf>
    <xf numFmtId="1" fontId="40" fillId="17" borderId="9" xfId="0" applyNumberFormat="1" applyFont="1" applyFill="1" applyBorder="1"/>
    <xf numFmtId="1" fontId="11" fillId="0" borderId="3" xfId="0" applyNumberFormat="1" applyFont="1" applyBorder="1" applyAlignment="1">
      <alignment vertical="top"/>
    </xf>
    <xf numFmtId="0" fontId="11" fillId="45" borderId="3" xfId="0" applyFont="1" applyFill="1" applyBorder="1" applyAlignment="1">
      <alignment horizontal="center" vertical="center"/>
    </xf>
    <xf numFmtId="166" fontId="13" fillId="45" borderId="3" xfId="0" applyNumberFormat="1" applyFont="1" applyFill="1" applyBorder="1" applyAlignment="1">
      <alignment horizontal="center" vertical="center"/>
    </xf>
    <xf numFmtId="0" fontId="11" fillId="45" borderId="3" xfId="0" applyFont="1" applyFill="1" applyBorder="1" applyAlignment="1">
      <alignment horizontal="right"/>
    </xf>
    <xf numFmtId="1" fontId="52" fillId="45" borderId="20" xfId="0" applyNumberFormat="1" applyFont="1" applyFill="1" applyBorder="1" applyAlignment="1">
      <alignment horizontal="right"/>
    </xf>
    <xf numFmtId="0" fontId="11" fillId="45" borderId="3" xfId="0" applyFont="1" applyFill="1" applyBorder="1" applyAlignment="1" applyProtection="1">
      <alignment horizontal="right"/>
      <protection locked="0"/>
    </xf>
    <xf numFmtId="0" fontId="0" fillId="0" borderId="21" xfId="0" applyBorder="1"/>
    <xf numFmtId="0" fontId="10" fillId="0" borderId="1" xfId="0" applyFont="1" applyBorder="1" applyAlignment="1">
      <alignment horizontal="center" vertical="center"/>
    </xf>
    <xf numFmtId="0" fontId="10" fillId="0" borderId="0" xfId="0" applyFont="1"/>
    <xf numFmtId="0" fontId="0" fillId="0" borderId="3" xfId="0" applyBorder="1"/>
    <xf numFmtId="1" fontId="0" fillId="0" borderId="3" xfId="0" applyNumberFormat="1" applyBorder="1"/>
    <xf numFmtId="0" fontId="9" fillId="0" borderId="3" xfId="0" applyFont="1" applyBorder="1"/>
    <xf numFmtId="0" fontId="0" fillId="0" borderId="4" xfId="0" applyBorder="1"/>
    <xf numFmtId="1" fontId="0" fillId="0" borderId="4" xfId="0" applyNumberFormat="1" applyBorder="1"/>
    <xf numFmtId="0" fontId="0" fillId="0" borderId="26" xfId="0" applyBorder="1"/>
    <xf numFmtId="1" fontId="11" fillId="2" borderId="14" xfId="0" applyNumberFormat="1" applyFont="1" applyFill="1" applyBorder="1" applyAlignment="1" applyProtection="1">
      <alignment horizontal="center" vertical="center"/>
      <protection locked="0"/>
    </xf>
    <xf numFmtId="1" fontId="32" fillId="0" borderId="0" xfId="0" applyNumberFormat="1" applyFont="1"/>
    <xf numFmtId="1" fontId="32" fillId="0" borderId="0" xfId="0" applyNumberFormat="1" applyFont="1" applyAlignment="1">
      <alignment horizontal="left"/>
    </xf>
    <xf numFmtId="0" fontId="40" fillId="0" borderId="0" xfId="0" applyFont="1"/>
    <xf numFmtId="0" fontId="32" fillId="0" borderId="0" xfId="0" applyFont="1"/>
    <xf numFmtId="0" fontId="11" fillId="7" borderId="3" xfId="0" applyFont="1" applyFill="1" applyBorder="1" applyAlignment="1" applyProtection="1">
      <alignment horizontal="right"/>
      <protection locked="0"/>
    </xf>
    <xf numFmtId="171" fontId="32" fillId="0" borderId="24" xfId="29" applyNumberFormat="1" applyFont="1" applyBorder="1" applyAlignment="1">
      <alignment horizontal="center" vertical="center"/>
    </xf>
    <xf numFmtId="0" fontId="41" fillId="0" borderId="22" xfId="27" applyFont="1" applyBorder="1" applyAlignment="1">
      <alignment horizontal="center" vertical="center"/>
    </xf>
    <xf numFmtId="0" fontId="31" fillId="0" borderId="3" xfId="0" applyFont="1" applyBorder="1" applyAlignment="1">
      <alignment vertical="center" wrapText="1"/>
    </xf>
    <xf numFmtId="1" fontId="30" fillId="17" borderId="3" xfId="0" applyNumberFormat="1" applyFont="1" applyFill="1" applyBorder="1"/>
    <xf numFmtId="1" fontId="42" fillId="0" borderId="4" xfId="20" applyNumberFormat="1" applyFont="1" applyBorder="1" applyAlignment="1">
      <alignment vertical="center"/>
    </xf>
    <xf numFmtId="0" fontId="0" fillId="0" borderId="5" xfId="0" applyBorder="1"/>
    <xf numFmtId="2" fontId="31" fillId="0" borderId="19" xfId="0" applyNumberFormat="1" applyFont="1" applyBorder="1" applyAlignment="1">
      <alignment horizontal="right" vertical="center"/>
    </xf>
    <xf numFmtId="165" fontId="13" fillId="15" borderId="4" xfId="0" applyNumberFormat="1" applyFont="1" applyFill="1" applyBorder="1" applyAlignment="1">
      <alignment horizontal="right"/>
    </xf>
    <xf numFmtId="0" fontId="14" fillId="46" borderId="0" xfId="0" applyFont="1" applyFill="1"/>
    <xf numFmtId="165" fontId="13" fillId="2" borderId="3" xfId="0" applyNumberFormat="1" applyFont="1" applyFill="1" applyBorder="1" applyAlignment="1">
      <alignment horizontal="right"/>
    </xf>
    <xf numFmtId="165" fontId="11" fillId="0" borderId="4" xfId="0" applyNumberFormat="1" applyFont="1" applyBorder="1" applyAlignment="1">
      <alignment horizontal="center" vertical="center"/>
    </xf>
    <xf numFmtId="1" fontId="11" fillId="7" borderId="20" xfId="0" applyNumberFormat="1" applyFont="1" applyFill="1" applyBorder="1" applyAlignment="1">
      <alignment horizontal="right"/>
    </xf>
    <xf numFmtId="0" fontId="40" fillId="0" borderId="3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/>
    </xf>
    <xf numFmtId="0" fontId="31" fillId="17" borderId="1" xfId="0" applyFont="1" applyFill="1" applyBorder="1" applyAlignment="1">
      <alignment horizontal="center" vertical="center" wrapText="1"/>
    </xf>
    <xf numFmtId="0" fontId="17" fillId="0" borderId="0" xfId="0" applyFont="1"/>
    <xf numFmtId="1" fontId="17" fillId="0" borderId="0" xfId="0" applyNumberFormat="1" applyFont="1"/>
    <xf numFmtId="0" fontId="17" fillId="0" borderId="3" xfId="0" applyFont="1" applyBorder="1"/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1" fontId="17" fillId="17" borderId="3" xfId="0" applyNumberFormat="1" applyFont="1" applyFill="1" applyBorder="1"/>
    <xf numFmtId="0" fontId="106" fillId="0" borderId="3" xfId="0" applyFont="1" applyBorder="1"/>
    <xf numFmtId="0" fontId="17" fillId="0" borderId="3" xfId="0" applyFont="1" applyBorder="1" applyAlignment="1">
      <alignment vertical="center" wrapText="1"/>
    </xf>
    <xf numFmtId="0" fontId="17" fillId="0" borderId="3" xfId="0" applyFont="1" applyBorder="1" applyAlignment="1">
      <alignment horizontal="left" vertical="center"/>
    </xf>
    <xf numFmtId="0" fontId="17" fillId="14" borderId="3" xfId="0" applyFont="1" applyFill="1" applyBorder="1" applyAlignment="1">
      <alignment vertical="center" wrapText="1"/>
    </xf>
    <xf numFmtId="0" fontId="106" fillId="0" borderId="3" xfId="0" applyFont="1" applyBorder="1" applyAlignment="1">
      <alignment vertical="center" wrapText="1"/>
    </xf>
    <xf numFmtId="1" fontId="106" fillId="0" borderId="0" xfId="0" applyNumberFormat="1" applyFont="1"/>
    <xf numFmtId="1" fontId="17" fillId="17" borderId="3" xfId="0" applyNumberFormat="1" applyFont="1" applyFill="1" applyBorder="1" applyAlignment="1">
      <alignment vertical="center"/>
    </xf>
    <xf numFmtId="0" fontId="17" fillId="0" borderId="0" xfId="0" applyFont="1" applyAlignment="1">
      <alignment vertical="center"/>
    </xf>
    <xf numFmtId="1" fontId="24" fillId="17" borderId="3" xfId="0" applyNumberFormat="1" applyFont="1" applyFill="1" applyBorder="1"/>
    <xf numFmtId="1" fontId="24" fillId="0" borderId="0" xfId="0" applyNumberFormat="1" applyFont="1"/>
    <xf numFmtId="0" fontId="17" fillId="17" borderId="3" xfId="0" applyFont="1" applyFill="1" applyBorder="1"/>
    <xf numFmtId="0" fontId="17" fillId="0" borderId="3" xfId="0" applyFont="1" applyBorder="1" applyAlignment="1">
      <alignment horizontal="left" vertical="center" wrapText="1"/>
    </xf>
    <xf numFmtId="0" fontId="17" fillId="0" borderId="19" xfId="0" applyFont="1" applyBorder="1"/>
    <xf numFmtId="0" fontId="17" fillId="0" borderId="19" xfId="0" applyFont="1" applyBorder="1" applyAlignment="1">
      <alignment horizontal="center"/>
    </xf>
    <xf numFmtId="1" fontId="24" fillId="17" borderId="19" xfId="0" applyNumberFormat="1" applyFont="1" applyFill="1" applyBorder="1"/>
    <xf numFmtId="165" fontId="11" fillId="2" borderId="0" xfId="0" applyNumberFormat="1" applyFont="1" applyFill="1" applyAlignment="1" applyProtection="1">
      <alignment horizontal="center" vertical="center"/>
      <protection locked="0"/>
    </xf>
    <xf numFmtId="0" fontId="11" fillId="2" borderId="0" xfId="0" applyFont="1" applyFill="1" applyAlignment="1" applyProtection="1">
      <alignment horizontal="center" vertical="center"/>
      <protection locked="0"/>
    </xf>
    <xf numFmtId="0" fontId="11" fillId="15" borderId="3" xfId="29" applyNumberFormat="1" applyFont="1" applyFill="1" applyBorder="1" applyAlignment="1" applyProtection="1">
      <alignment vertical="center"/>
    </xf>
    <xf numFmtId="1" fontId="11" fillId="0" borderId="0" xfId="0" applyNumberFormat="1" applyFont="1"/>
    <xf numFmtId="1" fontId="30" fillId="0" borderId="38" xfId="0" applyNumberFormat="1" applyFont="1" applyBorder="1"/>
    <xf numFmtId="166" fontId="11" fillId="2" borderId="27" xfId="0" applyNumberFormat="1" applyFont="1" applyFill="1" applyBorder="1" applyAlignment="1" applyProtection="1">
      <alignment vertical="center"/>
      <protection locked="0"/>
    </xf>
    <xf numFmtId="0" fontId="0" fillId="0" borderId="14" xfId="0" applyBorder="1"/>
    <xf numFmtId="0" fontId="42" fillId="2" borderId="27" xfId="0" applyFont="1" applyFill="1" applyBorder="1" applyAlignment="1">
      <alignment horizontal="right" vertical="center"/>
    </xf>
    <xf numFmtId="1" fontId="47" fillId="0" borderId="0" xfId="0" applyNumberFormat="1" applyFont="1"/>
    <xf numFmtId="169" fontId="11" fillId="0" borderId="3" xfId="0" applyNumberFormat="1" applyFont="1" applyBorder="1" applyAlignment="1">
      <alignment horizontal="right"/>
    </xf>
    <xf numFmtId="0" fontId="40" fillId="0" borderId="9" xfId="0" applyFont="1" applyBorder="1" applyAlignment="1">
      <alignment horizontal="center" vertical="center"/>
    </xf>
    <xf numFmtId="0" fontId="40" fillId="0" borderId="9" xfId="0" applyFont="1" applyBorder="1" applyAlignment="1">
      <alignment vertical="center"/>
    </xf>
    <xf numFmtId="1" fontId="41" fillId="0" borderId="3" xfId="8" applyNumberFormat="1" applyFont="1" applyBorder="1" applyAlignment="1">
      <alignment vertical="center" shrinkToFit="1"/>
    </xf>
    <xf numFmtId="165" fontId="11" fillId="15" borderId="3" xfId="0" applyNumberFormat="1" applyFont="1" applyFill="1" applyBorder="1" applyAlignment="1">
      <alignment horizontal="right"/>
    </xf>
    <xf numFmtId="0" fontId="11" fillId="15" borderId="4" xfId="0" applyFont="1" applyFill="1" applyBorder="1" applyAlignment="1">
      <alignment horizontal="right" vertical="center"/>
    </xf>
    <xf numFmtId="1" fontId="73" fillId="44" borderId="20" xfId="0" applyNumberFormat="1" applyFont="1" applyFill="1" applyBorder="1" applyAlignment="1">
      <alignment horizontal="right"/>
    </xf>
    <xf numFmtId="0" fontId="0" fillId="0" borderId="30" xfId="0" applyBorder="1"/>
    <xf numFmtId="0" fontId="0" fillId="0" borderId="9" xfId="0" applyBorder="1"/>
    <xf numFmtId="1" fontId="0" fillId="0" borderId="9" xfId="0" applyNumberFormat="1" applyBorder="1"/>
    <xf numFmtId="0" fontId="10" fillId="0" borderId="49" xfId="0" applyFont="1" applyBorder="1" applyAlignment="1">
      <alignment horizontal="center" vertical="center"/>
    </xf>
    <xf numFmtId="0" fontId="0" fillId="0" borderId="27" xfId="0" applyBorder="1"/>
    <xf numFmtId="1" fontId="0" fillId="0" borderId="27" xfId="0" applyNumberFormat="1" applyBorder="1"/>
    <xf numFmtId="0" fontId="0" fillId="0" borderId="35" xfId="0" applyBorder="1"/>
    <xf numFmtId="0" fontId="0" fillId="0" borderId="19" xfId="0" applyBorder="1"/>
    <xf numFmtId="1" fontId="0" fillId="0" borderId="19" xfId="0" applyNumberFormat="1" applyBorder="1"/>
    <xf numFmtId="0" fontId="9" fillId="0" borderId="27" xfId="0" applyFont="1" applyBorder="1"/>
    <xf numFmtId="0" fontId="9" fillId="0" borderId="1" xfId="0" applyFont="1" applyBorder="1"/>
    <xf numFmtId="3" fontId="0" fillId="0" borderId="1" xfId="0" applyNumberFormat="1" applyBorder="1"/>
    <xf numFmtId="1" fontId="0" fillId="0" borderId="1" xfId="0" applyNumberFormat="1" applyBorder="1"/>
    <xf numFmtId="10" fontId="0" fillId="0" borderId="1" xfId="0" applyNumberFormat="1" applyBorder="1"/>
    <xf numFmtId="0" fontId="10" fillId="6" borderId="1" xfId="0" applyFont="1" applyFill="1" applyBorder="1"/>
    <xf numFmtId="0" fontId="10" fillId="6" borderId="1" xfId="0" applyFont="1" applyFill="1" applyBorder="1" applyAlignment="1">
      <alignment horizontal="center"/>
    </xf>
    <xf numFmtId="174" fontId="10" fillId="6" borderId="1" xfId="0" applyNumberFormat="1" applyFont="1" applyFill="1" applyBorder="1" applyAlignment="1">
      <alignment horizontal="center"/>
    </xf>
    <xf numFmtId="17" fontId="10" fillId="6" borderId="1" xfId="0" applyNumberFormat="1" applyFont="1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3" fontId="10" fillId="6" borderId="1" xfId="0" applyNumberFormat="1" applyFont="1" applyFill="1" applyBorder="1"/>
    <xf numFmtId="0" fontId="9" fillId="0" borderId="9" xfId="0" applyFont="1" applyBorder="1"/>
    <xf numFmtId="0" fontId="10" fillId="0" borderId="9" xfId="0" applyFont="1" applyBorder="1"/>
    <xf numFmtId="3" fontId="0" fillId="15" borderId="1" xfId="0" applyNumberFormat="1" applyFill="1" applyBorder="1"/>
    <xf numFmtId="1" fontId="0" fillId="15" borderId="1" xfId="0" applyNumberFormat="1" applyFill="1" applyBorder="1"/>
    <xf numFmtId="1" fontId="0" fillId="0" borderId="23" xfId="0" applyNumberFormat="1" applyBorder="1"/>
    <xf numFmtId="1" fontId="40" fillId="0" borderId="7" xfId="0" quotePrefix="1" applyNumberFormat="1" applyFont="1" applyBorder="1" applyAlignment="1">
      <alignment horizontal="right" vertical="center"/>
    </xf>
    <xf numFmtId="1" fontId="40" fillId="0" borderId="0" xfId="0" applyNumberFormat="1" applyFont="1"/>
    <xf numFmtId="0" fontId="111" fillId="13" borderId="3" xfId="8" applyFont="1" applyFill="1" applyBorder="1" applyAlignment="1">
      <alignment horizontal="left" vertical="center" shrinkToFit="1"/>
    </xf>
    <xf numFmtId="0" fontId="111" fillId="13" borderId="3" xfId="0" applyFont="1" applyFill="1" applyBorder="1" applyAlignment="1">
      <alignment horizontal="center" vertical="center"/>
    </xf>
    <xf numFmtId="166" fontId="111" fillId="13" borderId="3" xfId="0" applyNumberFormat="1" applyFont="1" applyFill="1" applyBorder="1" applyAlignment="1">
      <alignment horizontal="center" vertical="center"/>
    </xf>
    <xf numFmtId="0" fontId="111" fillId="13" borderId="3" xfId="0" applyFont="1" applyFill="1" applyBorder="1" applyAlignment="1" applyProtection="1">
      <alignment horizontal="right"/>
      <protection locked="0"/>
    </xf>
    <xf numFmtId="0" fontId="111" fillId="13" borderId="3" xfId="0" applyFont="1" applyFill="1" applyBorder="1" applyAlignment="1">
      <alignment horizontal="right"/>
    </xf>
    <xf numFmtId="1" fontId="111" fillId="13" borderId="20" xfId="0" applyNumberFormat="1" applyFont="1" applyFill="1" applyBorder="1" applyAlignment="1">
      <alignment horizontal="right"/>
    </xf>
    <xf numFmtId="0" fontId="112" fillId="13" borderId="3" xfId="8" applyFont="1" applyFill="1" applyBorder="1" applyAlignment="1">
      <alignment horizontal="left" vertical="center"/>
    </xf>
    <xf numFmtId="0" fontId="112" fillId="13" borderId="3" xfId="0" applyFont="1" applyFill="1" applyBorder="1" applyAlignment="1">
      <alignment horizontal="center" vertical="center"/>
    </xf>
    <xf numFmtId="0" fontId="112" fillId="13" borderId="3" xfId="0" applyFont="1" applyFill="1" applyBorder="1" applyAlignment="1" applyProtection="1">
      <alignment horizontal="right"/>
      <protection locked="0"/>
    </xf>
    <xf numFmtId="1" fontId="112" fillId="13" borderId="20" xfId="0" applyNumberFormat="1" applyFont="1" applyFill="1" applyBorder="1" applyAlignment="1">
      <alignment horizontal="right"/>
    </xf>
    <xf numFmtId="2" fontId="111" fillId="13" borderId="3" xfId="0" applyNumberFormat="1" applyFont="1" applyFill="1" applyBorder="1" applyAlignment="1">
      <alignment horizontal="center" vertical="center"/>
    </xf>
    <xf numFmtId="166" fontId="111" fillId="13" borderId="3" xfId="0" applyNumberFormat="1" applyFont="1" applyFill="1" applyBorder="1" applyAlignment="1" applyProtection="1">
      <alignment horizontal="right"/>
      <protection locked="0"/>
    </xf>
    <xf numFmtId="165" fontId="111" fillId="13" borderId="3" xfId="0" applyNumberFormat="1" applyFont="1" applyFill="1" applyBorder="1" applyAlignment="1" applyProtection="1">
      <alignment horizontal="right"/>
      <protection locked="0"/>
    </xf>
    <xf numFmtId="0" fontId="111" fillId="13" borderId="3" xfId="0" applyFont="1" applyFill="1" applyBorder="1" applyAlignment="1">
      <alignment horizontal="center" vertical="center" shrinkToFit="1"/>
    </xf>
    <xf numFmtId="0" fontId="112" fillId="13" borderId="3" xfId="0" applyFont="1" applyFill="1" applyBorder="1" applyAlignment="1">
      <alignment horizontal="left" vertical="center" shrinkToFit="1"/>
    </xf>
    <xf numFmtId="0" fontId="111" fillId="13" borderId="3" xfId="0" applyFont="1" applyFill="1" applyBorder="1" applyAlignment="1">
      <alignment horizontal="left" vertical="center"/>
    </xf>
    <xf numFmtId="0" fontId="112" fillId="13" borderId="3" xfId="0" applyFont="1" applyFill="1" applyBorder="1" applyAlignment="1">
      <alignment horizontal="left" vertical="center"/>
    </xf>
    <xf numFmtId="0" fontId="112" fillId="13" borderId="3" xfId="0" applyFont="1" applyFill="1" applyBorder="1" applyAlignment="1">
      <alignment horizontal="right"/>
    </xf>
    <xf numFmtId="1" fontId="113" fillId="13" borderId="20" xfId="0" applyNumberFormat="1" applyFont="1" applyFill="1" applyBorder="1" applyAlignment="1">
      <alignment horizontal="right"/>
    </xf>
    <xf numFmtId="0" fontId="114" fillId="13" borderId="3" xfId="0" applyFont="1" applyFill="1" applyBorder="1" applyAlignment="1">
      <alignment horizontal="center" vertical="center"/>
    </xf>
    <xf numFmtId="0" fontId="112" fillId="13" borderId="3" xfId="0" applyFont="1" applyFill="1" applyBorder="1" applyAlignment="1">
      <alignment vertical="center"/>
    </xf>
    <xf numFmtId="0" fontId="11" fillId="47" borderId="3" xfId="0" applyFont="1" applyFill="1" applyBorder="1" applyAlignment="1">
      <alignment vertical="center"/>
    </xf>
    <xf numFmtId="0" fontId="11" fillId="47" borderId="3" xfId="0" applyFont="1" applyFill="1" applyBorder="1" applyAlignment="1">
      <alignment horizontal="center" vertical="center"/>
    </xf>
    <xf numFmtId="166" fontId="11" fillId="47" borderId="3" xfId="0" applyNumberFormat="1" applyFont="1" applyFill="1" applyBorder="1" applyAlignment="1">
      <alignment horizontal="center" vertical="center"/>
    </xf>
    <xf numFmtId="0" fontId="11" fillId="47" borderId="3" xfId="0" applyFont="1" applyFill="1" applyBorder="1" applyAlignment="1">
      <alignment horizontal="right"/>
    </xf>
    <xf numFmtId="1" fontId="11" fillId="47" borderId="20" xfId="0" applyNumberFormat="1" applyFont="1" applyFill="1" applyBorder="1" applyAlignment="1">
      <alignment horizontal="right"/>
    </xf>
    <xf numFmtId="2" fontId="11" fillId="47" borderId="3" xfId="0" applyNumberFormat="1" applyFont="1" applyFill="1" applyBorder="1" applyAlignment="1" applyProtection="1">
      <alignment horizontal="right"/>
      <protection locked="0"/>
    </xf>
    <xf numFmtId="165" fontId="11" fillId="47" borderId="3" xfId="0" applyNumberFormat="1" applyFont="1" applyFill="1" applyBorder="1" applyAlignment="1" applyProtection="1">
      <alignment horizontal="right"/>
      <protection locked="0"/>
    </xf>
    <xf numFmtId="1" fontId="19" fillId="47" borderId="20" xfId="0" applyNumberFormat="1" applyFont="1" applyFill="1" applyBorder="1" applyAlignment="1">
      <alignment horizontal="right"/>
    </xf>
    <xf numFmtId="0" fontId="48" fillId="47" borderId="3" xfId="0" applyFont="1" applyFill="1" applyBorder="1" applyAlignment="1">
      <alignment horizontal="left" vertical="center"/>
    </xf>
    <xf numFmtId="0" fontId="13" fillId="47" borderId="3" xfId="0" applyFont="1" applyFill="1" applyBorder="1" applyAlignment="1">
      <alignment horizontal="center" vertical="center"/>
    </xf>
    <xf numFmtId="166" fontId="13" fillId="47" borderId="3" xfId="0" applyNumberFormat="1" applyFont="1" applyFill="1" applyBorder="1" applyAlignment="1">
      <alignment horizontal="center" vertical="center"/>
    </xf>
    <xf numFmtId="0" fontId="26" fillId="47" borderId="3" xfId="0" applyFont="1" applyFill="1" applyBorder="1" applyAlignment="1">
      <alignment horizontal="right" wrapText="1"/>
    </xf>
    <xf numFmtId="0" fontId="13" fillId="47" borderId="3" xfId="0" applyFont="1" applyFill="1" applyBorder="1" applyAlignment="1">
      <alignment horizontal="right"/>
    </xf>
    <xf numFmtId="1" fontId="13" fillId="47" borderId="20" xfId="0" applyNumberFormat="1" applyFont="1" applyFill="1" applyBorder="1" applyAlignment="1">
      <alignment horizontal="right"/>
    </xf>
    <xf numFmtId="0" fontId="49" fillId="47" borderId="3" xfId="0" applyFont="1" applyFill="1" applyBorder="1" applyAlignment="1">
      <alignment vertical="center"/>
    </xf>
    <xf numFmtId="0" fontId="13" fillId="47" borderId="3" xfId="0" applyFont="1" applyFill="1" applyBorder="1" applyAlignment="1" applyProtection="1">
      <alignment horizontal="right"/>
      <protection locked="0"/>
    </xf>
    <xf numFmtId="0" fontId="37" fillId="47" borderId="3" xfId="0" applyFont="1" applyFill="1" applyBorder="1" applyAlignment="1">
      <alignment vertical="center"/>
    </xf>
    <xf numFmtId="0" fontId="29" fillId="47" borderId="3" xfId="0" applyFont="1" applyFill="1" applyBorder="1" applyAlignment="1">
      <alignment horizontal="left" vertical="center"/>
    </xf>
    <xf numFmtId="1" fontId="79" fillId="8" borderId="20" xfId="0" applyNumberFormat="1" applyFont="1" applyFill="1" applyBorder="1" applyAlignment="1">
      <alignment horizontal="right"/>
    </xf>
    <xf numFmtId="0" fontId="111" fillId="13" borderId="3" xfId="24" applyFont="1" applyFill="1" applyBorder="1" applyAlignment="1">
      <alignment horizontal="left" vertical="center" wrapText="1"/>
    </xf>
    <xf numFmtId="0" fontId="11" fillId="43" borderId="4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1" fillId="13" borderId="3" xfId="8" applyFont="1" applyFill="1" applyBorder="1" applyAlignment="1">
      <alignment horizontal="left" vertical="center" wrapText="1" shrinkToFit="1"/>
    </xf>
    <xf numFmtId="0" fontId="111" fillId="13" borderId="3" xfId="0" applyFont="1" applyFill="1" applyBorder="1" applyAlignment="1">
      <alignment vertical="center"/>
    </xf>
    <xf numFmtId="0" fontId="111" fillId="13" borderId="3" xfId="0" quotePrefix="1" applyFont="1" applyFill="1" applyBorder="1" applyAlignment="1">
      <alignment horizontal="center" vertical="center"/>
    </xf>
    <xf numFmtId="0" fontId="111" fillId="13" borderId="3" xfId="20" applyFont="1" applyFill="1" applyBorder="1" applyAlignment="1">
      <alignment horizontal="left" vertical="center"/>
    </xf>
    <xf numFmtId="0" fontId="111" fillId="13" borderId="3" xfId="10" applyFont="1" applyFill="1" applyBorder="1" applyAlignment="1">
      <alignment horizontal="center" vertical="center"/>
    </xf>
    <xf numFmtId="165" fontId="111" fillId="13" borderId="3" xfId="10" applyNumberFormat="1" applyFont="1" applyFill="1" applyBorder="1" applyAlignment="1">
      <alignment horizontal="center" vertical="center"/>
    </xf>
    <xf numFmtId="172" fontId="111" fillId="13" borderId="3" xfId="0" applyNumberFormat="1" applyFont="1" applyFill="1" applyBorder="1" applyAlignment="1">
      <alignment horizontal="right"/>
    </xf>
    <xf numFmtId="169" fontId="111" fillId="13" borderId="3" xfId="0" applyNumberFormat="1" applyFont="1" applyFill="1" applyBorder="1" applyAlignment="1">
      <alignment horizontal="right"/>
    </xf>
    <xf numFmtId="0" fontId="16" fillId="0" borderId="3" xfId="0" applyFont="1" applyBorder="1" applyAlignment="1">
      <alignment vertical="center"/>
    </xf>
    <xf numFmtId="0" fontId="10" fillId="3" borderId="0" xfId="0" applyFont="1" applyFill="1"/>
    <xf numFmtId="0" fontId="10" fillId="4" borderId="0" xfId="0" applyFont="1" applyFill="1"/>
    <xf numFmtId="0" fontId="115" fillId="3" borderId="0" xfId="0" applyFont="1" applyFill="1"/>
    <xf numFmtId="0" fontId="10" fillId="10" borderId="0" xfId="0" applyFont="1" applyFill="1"/>
    <xf numFmtId="0" fontId="10" fillId="6" borderId="0" xfId="0" applyFont="1" applyFill="1"/>
    <xf numFmtId="0" fontId="10" fillId="46" borderId="0" xfId="0" applyFont="1" applyFill="1"/>
    <xf numFmtId="0" fontId="19" fillId="0" borderId="0" xfId="0" applyFont="1"/>
    <xf numFmtId="0" fontId="18" fillId="0" borderId="0" xfId="0" applyFont="1"/>
    <xf numFmtId="3" fontId="18" fillId="0" borderId="0" xfId="0" applyNumberFormat="1" applyFont="1"/>
    <xf numFmtId="0" fontId="19" fillId="15" borderId="3" xfId="0" applyFont="1" applyFill="1" applyBorder="1" applyAlignment="1" applyProtection="1">
      <alignment horizontal="right"/>
      <protection locked="0"/>
    </xf>
    <xf numFmtId="1" fontId="29" fillId="10" borderId="39" xfId="0" applyNumberFormat="1" applyFont="1" applyFill="1" applyBorder="1" applyAlignment="1">
      <alignment horizontal="right"/>
    </xf>
    <xf numFmtId="0" fontId="10" fillId="15" borderId="0" xfId="0" applyFont="1" applyFill="1"/>
    <xf numFmtId="0" fontId="10" fillId="13" borderId="0" xfId="0" applyFont="1" applyFill="1"/>
    <xf numFmtId="171" fontId="40" fillId="10" borderId="20" xfId="0" applyNumberFormat="1" applyFont="1" applyFill="1" applyBorder="1"/>
    <xf numFmtId="171" fontId="31" fillId="10" borderId="25" xfId="0" applyNumberFormat="1" applyFont="1" applyFill="1" applyBorder="1" applyAlignment="1">
      <alignment horizontal="center"/>
    </xf>
    <xf numFmtId="171" fontId="40" fillId="10" borderId="24" xfId="0" applyNumberFormat="1" applyFont="1" applyFill="1" applyBorder="1"/>
    <xf numFmtId="171" fontId="31" fillId="10" borderId="25" xfId="0" applyNumberFormat="1" applyFont="1" applyFill="1" applyBorder="1" applyAlignment="1">
      <alignment horizontal="right"/>
    </xf>
    <xf numFmtId="171" fontId="40" fillId="10" borderId="25" xfId="0" applyNumberFormat="1" applyFont="1" applyFill="1" applyBorder="1"/>
    <xf numFmtId="171" fontId="31" fillId="0" borderId="36" xfId="0" applyNumberFormat="1" applyFont="1" applyBorder="1" applyAlignment="1">
      <alignment vertical="center"/>
    </xf>
    <xf numFmtId="171" fontId="40" fillId="10" borderId="28" xfId="0" applyNumberFormat="1" applyFont="1" applyFill="1" applyBorder="1"/>
    <xf numFmtId="171" fontId="24" fillId="10" borderId="20" xfId="0" applyNumberFormat="1" applyFont="1" applyFill="1" applyBorder="1"/>
    <xf numFmtId="171" fontId="51" fillId="10" borderId="20" xfId="0" applyNumberFormat="1" applyFont="1" applyFill="1" applyBorder="1" applyAlignment="1">
      <alignment horizontal="center" vertical="center"/>
    </xf>
    <xf numFmtId="171" fontId="40" fillId="0" borderId="20" xfId="0" applyNumberFormat="1" applyFont="1" applyBorder="1"/>
    <xf numFmtId="171" fontId="31" fillId="10" borderId="20" xfId="0" applyNumberFormat="1" applyFont="1" applyFill="1" applyBorder="1" applyAlignment="1">
      <alignment horizontal="center" vertical="center"/>
    </xf>
    <xf numFmtId="171" fontId="31" fillId="0" borderId="20" xfId="0" applyNumberFormat="1" applyFont="1" applyBorder="1" applyAlignment="1">
      <alignment horizontal="right"/>
    </xf>
    <xf numFmtId="171" fontId="40" fillId="0" borderId="20" xfId="0" applyNumberFormat="1" applyFont="1" applyBorder="1" applyAlignment="1">
      <alignment horizontal="right"/>
    </xf>
    <xf numFmtId="171" fontId="0" fillId="0" borderId="0" xfId="0" applyNumberFormat="1"/>
    <xf numFmtId="9" fontId="0" fillId="0" borderId="0" xfId="29" applyFont="1"/>
    <xf numFmtId="171" fontId="17" fillId="10" borderId="22" xfId="0" applyNumberFormat="1" applyFont="1" applyFill="1" applyBorder="1"/>
    <xf numFmtId="171" fontId="17" fillId="10" borderId="20" xfId="0" applyNumberFormat="1" applyFont="1" applyFill="1" applyBorder="1"/>
    <xf numFmtId="0" fontId="10" fillId="8" borderId="0" xfId="0" applyFont="1" applyFill="1"/>
    <xf numFmtId="2" fontId="52" fillId="15" borderId="3" xfId="0" applyNumberFormat="1" applyFont="1" applyFill="1" applyBorder="1" applyAlignment="1">
      <alignment horizontal="right"/>
    </xf>
    <xf numFmtId="2" fontId="13" fillId="15" borderId="3" xfId="0" applyNumberFormat="1" applyFont="1" applyFill="1" applyBorder="1" applyAlignment="1">
      <alignment horizontal="right"/>
    </xf>
    <xf numFmtId="1" fontId="17" fillId="48" borderId="3" xfId="0" applyNumberFormat="1" applyFont="1" applyFill="1" applyBorder="1"/>
    <xf numFmtId="1" fontId="24" fillId="48" borderId="3" xfId="0" applyNumberFormat="1" applyFont="1" applyFill="1" applyBorder="1"/>
    <xf numFmtId="1" fontId="24" fillId="48" borderId="19" xfId="0" applyNumberFormat="1" applyFont="1" applyFill="1" applyBorder="1"/>
    <xf numFmtId="1" fontId="40" fillId="48" borderId="3" xfId="0" applyNumberFormat="1" applyFont="1" applyFill="1" applyBorder="1"/>
    <xf numFmtId="1" fontId="31" fillId="48" borderId="19" xfId="0" applyNumberFormat="1" applyFont="1" applyFill="1" applyBorder="1"/>
    <xf numFmtId="1" fontId="40" fillId="48" borderId="4" xfId="0" applyNumberFormat="1" applyFont="1" applyFill="1" applyBorder="1"/>
    <xf numFmtId="1" fontId="31" fillId="48" borderId="3" xfId="0" applyNumberFormat="1" applyFont="1" applyFill="1" applyBorder="1"/>
    <xf numFmtId="1" fontId="31" fillId="48" borderId="19" xfId="0" applyNumberFormat="1" applyFont="1" applyFill="1" applyBorder="1" applyAlignment="1">
      <alignment vertical="center"/>
    </xf>
    <xf numFmtId="0" fontId="31" fillId="48" borderId="6" xfId="0" applyFont="1" applyFill="1" applyBorder="1" applyAlignment="1">
      <alignment vertical="center"/>
    </xf>
    <xf numFmtId="1" fontId="40" fillId="48" borderId="27" xfId="0" applyNumberFormat="1" applyFont="1" applyFill="1" applyBorder="1"/>
    <xf numFmtId="1" fontId="40" fillId="48" borderId="3" xfId="0" applyNumberFormat="1" applyFont="1" applyFill="1" applyBorder="1" applyAlignment="1">
      <alignment vertical="center"/>
    </xf>
    <xf numFmtId="171" fontId="40" fillId="10" borderId="20" xfId="0" applyNumberFormat="1" applyFont="1" applyFill="1" applyBorder="1" applyAlignment="1">
      <alignment horizontal="center"/>
    </xf>
    <xf numFmtId="0" fontId="11" fillId="0" borderId="3" xfId="0" applyFont="1" applyBorder="1" applyAlignment="1">
      <alignment horizontal="right" wrapText="1"/>
    </xf>
    <xf numFmtId="169" fontId="11" fillId="0" borderId="3" xfId="0" applyNumberFormat="1" applyFont="1" applyBorder="1" applyAlignment="1" applyProtection="1">
      <alignment horizontal="right"/>
      <protection locked="0"/>
    </xf>
    <xf numFmtId="0" fontId="40" fillId="0" borderId="40" xfId="0" applyFont="1" applyBorder="1" applyAlignment="1">
      <alignment vertical="center"/>
    </xf>
    <xf numFmtId="0" fontId="40" fillId="0" borderId="32" xfId="0" applyFont="1" applyBorder="1" applyAlignment="1">
      <alignment vertical="center"/>
    </xf>
    <xf numFmtId="0" fontId="40" fillId="0" borderId="17" xfId="0" applyFont="1" applyBorder="1" applyAlignment="1">
      <alignment vertical="center"/>
    </xf>
    <xf numFmtId="0" fontId="31" fillId="0" borderId="32" xfId="0" applyFont="1" applyBorder="1" applyAlignment="1">
      <alignment horizontal="center" vertical="center"/>
    </xf>
    <xf numFmtId="165" fontId="17" fillId="15" borderId="3" xfId="10" applyNumberFormat="1" applyFont="1" applyFill="1" applyBorder="1" applyAlignment="1">
      <alignment horizontal="right"/>
    </xf>
    <xf numFmtId="171" fontId="17" fillId="10" borderId="20" xfId="0" applyNumberFormat="1" applyFont="1" applyFill="1" applyBorder="1" applyAlignment="1">
      <alignment vertical="center"/>
    </xf>
    <xf numFmtId="1" fontId="17" fillId="48" borderId="3" xfId="0" applyNumberFormat="1" applyFont="1" applyFill="1" applyBorder="1" applyAlignment="1">
      <alignment horizontal="right" vertical="center"/>
    </xf>
    <xf numFmtId="0" fontId="10" fillId="3" borderId="0" xfId="0" applyFont="1" applyFill="1" applyAlignment="1">
      <alignment horizontal="right"/>
    </xf>
    <xf numFmtId="170" fontId="11" fillId="15" borderId="9" xfId="0" applyNumberFormat="1" applyFont="1" applyFill="1" applyBorder="1" applyAlignment="1" applyProtection="1">
      <alignment horizontal="right"/>
      <protection locked="0"/>
    </xf>
    <xf numFmtId="165" fontId="11" fillId="15" borderId="3" xfId="0" applyNumberFormat="1" applyFont="1" applyFill="1" applyBorder="1" applyAlignment="1">
      <alignment vertical="top"/>
    </xf>
    <xf numFmtId="3" fontId="0" fillId="0" borderId="46" xfId="0" applyNumberFormat="1" applyBorder="1"/>
    <xf numFmtId="0" fontId="0" fillId="0" borderId="1" xfId="0" applyBorder="1"/>
    <xf numFmtId="174" fontId="0" fillId="0" borderId="34" xfId="0" applyNumberFormat="1" applyBorder="1"/>
    <xf numFmtId="1" fontId="40" fillId="0" borderId="70" xfId="0" applyNumberFormat="1" applyFont="1" applyBorder="1" applyAlignment="1">
      <alignment horizontal="right" vertical="center"/>
    </xf>
    <xf numFmtId="1" fontId="13" fillId="2" borderId="3" xfId="0" applyNumberFormat="1" applyFont="1" applyFill="1" applyBorder="1" applyAlignment="1">
      <alignment horizontal="right"/>
    </xf>
    <xf numFmtId="1" fontId="13" fillId="49" borderId="22" xfId="0" applyNumberFormat="1" applyFont="1" applyFill="1" applyBorder="1" applyAlignment="1">
      <alignment horizontal="right"/>
    </xf>
    <xf numFmtId="0" fontId="116" fillId="0" borderId="27" xfId="0" applyFont="1" applyBorder="1" applyAlignment="1">
      <alignment horizontal="center" vertical="center"/>
    </xf>
    <xf numFmtId="0" fontId="116" fillId="0" borderId="3" xfId="0" applyFont="1" applyBorder="1" applyAlignment="1">
      <alignment horizontal="center" vertical="center"/>
    </xf>
    <xf numFmtId="0" fontId="116" fillId="0" borderId="3" xfId="0" applyFont="1" applyBorder="1" applyAlignment="1">
      <alignment horizontal="center"/>
    </xf>
    <xf numFmtId="0" fontId="111" fillId="13" borderId="3" xfId="13" applyFont="1" applyFill="1" applyBorder="1" applyAlignment="1">
      <alignment horizontal="left" vertical="center"/>
    </xf>
    <xf numFmtId="165" fontId="111" fillId="13" borderId="3" xfId="0" applyNumberFormat="1" applyFont="1" applyFill="1" applyBorder="1" applyAlignment="1">
      <alignment horizontal="center" vertical="center"/>
    </xf>
    <xf numFmtId="2" fontId="111" fillId="13" borderId="3" xfId="33" applyNumberFormat="1" applyFont="1" applyFill="1" applyBorder="1" applyAlignment="1">
      <alignment vertical="center"/>
    </xf>
    <xf numFmtId="0" fontId="111" fillId="13" borderId="3" xfId="0" applyFont="1" applyFill="1" applyBorder="1" applyAlignment="1">
      <alignment horizontal="right" vertical="center"/>
    </xf>
    <xf numFmtId="0" fontId="117" fillId="13" borderId="0" xfId="0" applyFont="1" applyFill="1"/>
    <xf numFmtId="0" fontId="118" fillId="13" borderId="0" xfId="0" applyFont="1" applyFill="1"/>
    <xf numFmtId="0" fontId="119" fillId="13" borderId="9" xfId="33" applyFont="1" applyFill="1" applyBorder="1" applyProtection="1">
      <protection locked="0"/>
    </xf>
    <xf numFmtId="0" fontId="112" fillId="13" borderId="3" xfId="0" applyFont="1" applyFill="1" applyBorder="1" applyAlignment="1">
      <alignment horizontal="left"/>
    </xf>
    <xf numFmtId="0" fontId="112" fillId="13" borderId="3" xfId="0" applyFont="1" applyFill="1" applyBorder="1"/>
    <xf numFmtId="0" fontId="111" fillId="13" borderId="3" xfId="0" applyFont="1" applyFill="1" applyBorder="1"/>
    <xf numFmtId="174" fontId="0" fillId="0" borderId="23" xfId="0" applyNumberFormat="1" applyBorder="1"/>
    <xf numFmtId="1" fontId="9" fillId="0" borderId="1" xfId="0" applyNumberFormat="1" applyFont="1" applyBorder="1"/>
    <xf numFmtId="0" fontId="40" fillId="0" borderId="2" xfId="0" applyFont="1" applyBorder="1" applyAlignment="1">
      <alignment vertical="center"/>
    </xf>
    <xf numFmtId="0" fontId="40" fillId="0" borderId="2" xfId="0" applyFont="1" applyBorder="1"/>
    <xf numFmtId="49" fontId="120" fillId="50" borderId="49" xfId="105" applyNumberFormat="1" applyFont="1" applyFill="1" applyBorder="1" applyAlignment="1">
      <alignment horizontal="right" vertical="top"/>
    </xf>
    <xf numFmtId="0" fontId="0" fillId="0" borderId="49" xfId="0" applyBorder="1"/>
    <xf numFmtId="0" fontId="0" fillId="0" borderId="49" xfId="0" applyBorder="1" applyAlignment="1">
      <alignment horizontal="center"/>
    </xf>
    <xf numFmtId="0" fontId="0" fillId="51" borderId="1" xfId="0" applyFill="1" applyBorder="1"/>
    <xf numFmtId="2" fontId="120" fillId="50" borderId="49" xfId="105" applyNumberFormat="1" applyFont="1" applyFill="1" applyBorder="1" applyAlignment="1">
      <alignment horizontal="right" vertical="top"/>
    </xf>
    <xf numFmtId="1" fontId="0" fillId="52" borderId="1" xfId="0" applyNumberFormat="1" applyFill="1" applyBorder="1"/>
    <xf numFmtId="1" fontId="0" fillId="6" borderId="1" xfId="0" applyNumberFormat="1" applyFill="1" applyBorder="1"/>
    <xf numFmtId="0" fontId="10" fillId="6" borderId="46" xfId="0" applyFont="1" applyFill="1" applyBorder="1"/>
    <xf numFmtId="1" fontId="10" fillId="53" borderId="1" xfId="0" applyNumberFormat="1" applyFont="1" applyFill="1" applyBorder="1"/>
    <xf numFmtId="1" fontId="10" fillId="54" borderId="1" xfId="0" applyNumberFormat="1" applyFont="1" applyFill="1" applyBorder="1"/>
    <xf numFmtId="1" fontId="117" fillId="55" borderId="1" xfId="0" applyNumberFormat="1" applyFont="1" applyFill="1" applyBorder="1"/>
    <xf numFmtId="0" fontId="19" fillId="8" borderId="9" xfId="0" applyFont="1" applyFill="1" applyBorder="1" applyAlignment="1">
      <alignment horizontal="center" vertical="center"/>
    </xf>
    <xf numFmtId="171" fontId="31" fillId="10" borderId="20" xfId="0" applyNumberFormat="1" applyFont="1" applyFill="1" applyBorder="1" applyAlignment="1">
      <alignment horizontal="center"/>
    </xf>
    <xf numFmtId="0" fontId="122" fillId="12" borderId="3" xfId="11" applyFont="1" applyFill="1" applyBorder="1" applyAlignment="1">
      <alignment horizontal="left" vertical="center" wrapText="1"/>
    </xf>
    <xf numFmtId="0" fontId="111" fillId="12" borderId="3" xfId="0" quotePrefix="1" applyFont="1" applyFill="1" applyBorder="1" applyAlignment="1">
      <alignment horizontal="center" vertical="center"/>
    </xf>
    <xf numFmtId="0" fontId="111" fillId="12" borderId="3" xfId="0" applyFont="1" applyFill="1" applyBorder="1" applyAlignment="1">
      <alignment horizontal="center" vertical="center"/>
    </xf>
    <xf numFmtId="166" fontId="111" fillId="12" borderId="3" xfId="0" applyNumberFormat="1" applyFont="1" applyFill="1" applyBorder="1" applyAlignment="1">
      <alignment horizontal="center" vertical="center"/>
    </xf>
    <xf numFmtId="0" fontId="111" fillId="12" borderId="3" xfId="0" applyFont="1" applyFill="1" applyBorder="1" applyAlignment="1" applyProtection="1">
      <alignment horizontal="right"/>
      <protection locked="0"/>
    </xf>
    <xf numFmtId="0" fontId="111" fillId="12" borderId="3" xfId="0" applyFont="1" applyFill="1" applyBorder="1" applyAlignment="1">
      <alignment horizontal="right"/>
    </xf>
    <xf numFmtId="1" fontId="111" fillId="12" borderId="20" xfId="0" applyNumberFormat="1" applyFont="1" applyFill="1" applyBorder="1" applyAlignment="1">
      <alignment horizontal="right"/>
    </xf>
    <xf numFmtId="0" fontId="117" fillId="12" borderId="0" xfId="0" applyFont="1" applyFill="1"/>
    <xf numFmtId="0" fontId="118" fillId="12" borderId="0" xfId="0" applyFont="1" applyFill="1"/>
    <xf numFmtId="0" fontId="123" fillId="15" borderId="3" xfId="0" applyFont="1" applyFill="1" applyBorder="1" applyAlignment="1" applyProtection="1">
      <alignment horizontal="right"/>
      <protection locked="0"/>
    </xf>
    <xf numFmtId="0" fontId="124" fillId="15" borderId="3" xfId="0" applyFont="1" applyFill="1" applyBorder="1" applyAlignment="1" applyProtection="1">
      <alignment vertical="center"/>
      <protection locked="0"/>
    </xf>
    <xf numFmtId="165" fontId="107" fillId="56" borderId="68" xfId="92" applyNumberFormat="1" applyFont="1" applyFill="1" applyBorder="1" applyAlignment="1">
      <alignment horizontal="right" vertical="center"/>
    </xf>
    <xf numFmtId="170" fontId="125" fillId="56" borderId="69" xfId="92" applyNumberFormat="1" applyFont="1" applyFill="1" applyBorder="1" applyAlignment="1">
      <alignment vertical="center"/>
    </xf>
    <xf numFmtId="0" fontId="126" fillId="44" borderId="3" xfId="0" applyFont="1" applyFill="1" applyBorder="1" applyAlignment="1" applyProtection="1">
      <alignment vertical="center" wrapText="1"/>
      <protection locked="0"/>
    </xf>
    <xf numFmtId="0" fontId="127" fillId="44" borderId="3" xfId="0" applyFont="1" applyFill="1" applyBorder="1" applyAlignment="1">
      <alignment horizontal="center" vertical="center"/>
    </xf>
    <xf numFmtId="166" fontId="127" fillId="44" borderId="3" xfId="0" applyNumberFormat="1" applyFont="1" applyFill="1" applyBorder="1" applyAlignment="1">
      <alignment horizontal="center" vertical="center"/>
    </xf>
    <xf numFmtId="165" fontId="127" fillId="44" borderId="3" xfId="0" applyNumberFormat="1" applyFont="1" applyFill="1" applyBorder="1" applyAlignment="1" applyProtection="1">
      <alignment horizontal="right"/>
      <protection locked="0"/>
    </xf>
    <xf numFmtId="0" fontId="127" fillId="44" borderId="3" xfId="0" applyFont="1" applyFill="1" applyBorder="1" applyAlignment="1" applyProtection="1">
      <alignment horizontal="right"/>
      <protection locked="0"/>
    </xf>
    <xf numFmtId="0" fontId="127" fillId="44" borderId="3" xfId="0" applyFont="1" applyFill="1" applyBorder="1" applyAlignment="1">
      <alignment horizontal="right"/>
    </xf>
    <xf numFmtId="1" fontId="128" fillId="44" borderId="20" xfId="0" applyNumberFormat="1" applyFont="1" applyFill="1" applyBorder="1" applyAlignment="1">
      <alignment horizontal="right"/>
    </xf>
    <xf numFmtId="0" fontId="129" fillId="57" borderId="3" xfId="0" applyFont="1" applyFill="1" applyBorder="1" applyAlignment="1">
      <alignment horizontal="left" vertical="center"/>
    </xf>
    <xf numFmtId="0" fontId="129" fillId="57" borderId="3" xfId="0" applyFont="1" applyFill="1" applyBorder="1" applyAlignment="1">
      <alignment horizontal="center" vertical="center"/>
    </xf>
    <xf numFmtId="166" fontId="129" fillId="57" borderId="3" xfId="0" applyNumberFormat="1" applyFont="1" applyFill="1" applyBorder="1" applyAlignment="1">
      <alignment horizontal="center" vertical="center"/>
    </xf>
    <xf numFmtId="2" fontId="130" fillId="57" borderId="3" xfId="10" applyNumberFormat="1" applyFont="1" applyFill="1" applyBorder="1" applyAlignment="1">
      <alignment horizontal="right"/>
    </xf>
    <xf numFmtId="2" fontId="129" fillId="57" borderId="4" xfId="0" applyNumberFormat="1" applyFont="1" applyFill="1" applyBorder="1" applyAlignment="1">
      <alignment horizontal="right"/>
    </xf>
    <xf numFmtId="0" fontId="129" fillId="57" borderId="3" xfId="0" applyFont="1" applyFill="1" applyBorder="1" applyAlignment="1">
      <alignment horizontal="right"/>
    </xf>
    <xf numFmtId="1" fontId="129" fillId="57" borderId="22" xfId="0" applyNumberFormat="1" applyFont="1" applyFill="1" applyBorder="1" applyAlignment="1">
      <alignment horizontal="right"/>
    </xf>
    <xf numFmtId="0" fontId="31" fillId="0" borderId="3" xfId="0" applyFont="1" applyBorder="1" applyAlignment="1">
      <alignment horizontal="left" vertical="center"/>
    </xf>
    <xf numFmtId="174" fontId="10" fillId="6" borderId="44" xfId="0" applyNumberFormat="1" applyFont="1" applyFill="1" applyBorder="1" applyAlignment="1">
      <alignment horizontal="center"/>
    </xf>
    <xf numFmtId="17" fontId="10" fillId="52" borderId="1" xfId="0" applyNumberFormat="1" applyFont="1" applyFill="1" applyBorder="1"/>
    <xf numFmtId="0" fontId="10" fillId="52" borderId="1" xfId="0" applyFont="1" applyFill="1" applyBorder="1" applyAlignment="1">
      <alignment horizontal="center" vertical="center"/>
    </xf>
    <xf numFmtId="0" fontId="10" fillId="52" borderId="49" xfId="0" applyFont="1" applyFill="1" applyBorder="1" applyAlignment="1">
      <alignment horizontal="center" vertical="center"/>
    </xf>
    <xf numFmtId="1" fontId="0" fillId="52" borderId="3" xfId="0" applyNumberFormat="1" applyFill="1" applyBorder="1"/>
    <xf numFmtId="1" fontId="0" fillId="52" borderId="23" xfId="0" applyNumberFormat="1" applyFill="1" applyBorder="1"/>
    <xf numFmtId="1" fontId="0" fillId="52" borderId="27" xfId="0" applyNumberFormat="1" applyFill="1" applyBorder="1"/>
    <xf numFmtId="1" fontId="0" fillId="52" borderId="9" xfId="0" applyNumberFormat="1" applyFill="1" applyBorder="1"/>
    <xf numFmtId="1" fontId="0" fillId="52" borderId="0" xfId="0" applyNumberFormat="1" applyFill="1"/>
    <xf numFmtId="0" fontId="10" fillId="58" borderId="1" xfId="0" applyFont="1" applyFill="1" applyBorder="1" applyAlignment="1">
      <alignment horizontal="center" vertical="center"/>
    </xf>
    <xf numFmtId="1" fontId="0" fillId="58" borderId="4" xfId="0" applyNumberFormat="1" applyFill="1" applyBorder="1"/>
    <xf numFmtId="1" fontId="0" fillId="58" borderId="3" xfId="0" applyNumberFormat="1" applyFill="1" applyBorder="1"/>
    <xf numFmtId="1" fontId="0" fillId="58" borderId="9" xfId="0" applyNumberFormat="1" applyFill="1" applyBorder="1"/>
    <xf numFmtId="0" fontId="10" fillId="58" borderId="49" xfId="0" applyFont="1" applyFill="1" applyBorder="1" applyAlignment="1">
      <alignment horizontal="center" vertical="center"/>
    </xf>
    <xf numFmtId="1" fontId="0" fillId="58" borderId="27" xfId="0" applyNumberFormat="1" applyFill="1" applyBorder="1"/>
    <xf numFmtId="1" fontId="0" fillId="58" borderId="19" xfId="0" applyNumberFormat="1" applyFill="1" applyBorder="1"/>
    <xf numFmtId="1" fontId="0" fillId="58" borderId="23" xfId="0" applyNumberFormat="1" applyFill="1" applyBorder="1"/>
    <xf numFmtId="3" fontId="0" fillId="58" borderId="27" xfId="0" applyNumberFormat="1" applyFill="1" applyBorder="1"/>
    <xf numFmtId="3" fontId="0" fillId="52" borderId="27" xfId="0" applyNumberFormat="1" applyFill="1" applyBorder="1"/>
    <xf numFmtId="3" fontId="0" fillId="58" borderId="3" xfId="0" applyNumberFormat="1" applyFill="1" applyBorder="1"/>
    <xf numFmtId="3" fontId="0" fillId="52" borderId="3" xfId="0" applyNumberFormat="1" applyFill="1" applyBorder="1"/>
    <xf numFmtId="3" fontId="0" fillId="58" borderId="9" xfId="0" applyNumberFormat="1" applyFill="1" applyBorder="1"/>
    <xf numFmtId="3" fontId="0" fillId="52" borderId="9" xfId="0" applyNumberFormat="1" applyFill="1" applyBorder="1"/>
    <xf numFmtId="165" fontId="11" fillId="0" borderId="3" xfId="0" applyNumberFormat="1" applyFont="1" applyBorder="1" applyAlignment="1" applyProtection="1">
      <alignment horizontal="right"/>
      <protection locked="0"/>
    </xf>
    <xf numFmtId="1" fontId="14" fillId="3" borderId="0" xfId="0" applyNumberFormat="1" applyFont="1" applyFill="1"/>
    <xf numFmtId="9" fontId="14" fillId="3" borderId="0" xfId="29" applyFont="1" applyFill="1"/>
    <xf numFmtId="0" fontId="73" fillId="52" borderId="3" xfId="0" applyFont="1" applyFill="1" applyBorder="1" applyAlignment="1">
      <alignment vertical="center"/>
    </xf>
    <xf numFmtId="0" fontId="11" fillId="52" borderId="3" xfId="0" applyFont="1" applyFill="1" applyBorder="1" applyAlignment="1">
      <alignment horizontal="center" vertical="center"/>
    </xf>
    <xf numFmtId="166" fontId="11" fillId="52" borderId="3" xfId="0" applyNumberFormat="1" applyFont="1" applyFill="1" applyBorder="1" applyAlignment="1">
      <alignment horizontal="center" vertical="center"/>
    </xf>
    <xf numFmtId="0" fontId="11" fillId="52" borderId="3" xfId="0" applyFont="1" applyFill="1" applyBorder="1" applyAlignment="1" applyProtection="1">
      <alignment horizontal="right"/>
      <protection locked="0"/>
    </xf>
    <xf numFmtId="165" fontId="11" fillId="52" borderId="3" xfId="0" applyNumberFormat="1" applyFont="1" applyFill="1" applyBorder="1" applyAlignment="1">
      <alignment horizontal="right"/>
    </xf>
    <xf numFmtId="1" fontId="19" fillId="52" borderId="3" xfId="0" applyNumberFormat="1" applyFont="1" applyFill="1" applyBorder="1" applyAlignment="1">
      <alignment horizontal="right" wrapText="1"/>
    </xf>
    <xf numFmtId="1" fontId="29" fillId="52" borderId="20" xfId="0" applyNumberFormat="1" applyFont="1" applyFill="1" applyBorder="1" applyAlignment="1">
      <alignment horizontal="right"/>
    </xf>
    <xf numFmtId="0" fontId="11" fillId="52" borderId="3" xfId="0" applyFont="1" applyFill="1" applyBorder="1" applyAlignment="1">
      <alignment horizontal="right"/>
    </xf>
    <xf numFmtId="0" fontId="13" fillId="52" borderId="3" xfId="0" applyFont="1" applyFill="1" applyBorder="1" applyAlignment="1">
      <alignment horizontal="center" vertical="center"/>
    </xf>
    <xf numFmtId="166" fontId="13" fillId="52" borderId="3" xfId="0" applyNumberFormat="1" applyFont="1" applyFill="1" applyBorder="1" applyAlignment="1">
      <alignment horizontal="center" vertical="center"/>
    </xf>
    <xf numFmtId="2" fontId="13" fillId="52" borderId="3" xfId="0" applyNumberFormat="1" applyFont="1" applyFill="1" applyBorder="1" applyAlignment="1" applyProtection="1">
      <alignment horizontal="right"/>
      <protection locked="0"/>
    </xf>
    <xf numFmtId="2" fontId="13" fillId="52" borderId="3" xfId="0" applyNumberFormat="1" applyFont="1" applyFill="1" applyBorder="1" applyAlignment="1">
      <alignment horizontal="right"/>
    </xf>
    <xf numFmtId="0" fontId="13" fillId="52" borderId="3" xfId="0" applyFont="1" applyFill="1" applyBorder="1" applyAlignment="1">
      <alignment horizontal="right"/>
    </xf>
    <xf numFmtId="1" fontId="11" fillId="52" borderId="20" xfId="0" applyNumberFormat="1" applyFont="1" applyFill="1" applyBorder="1" applyAlignment="1">
      <alignment horizontal="right"/>
    </xf>
    <xf numFmtId="0" fontId="19" fillId="52" borderId="3" xfId="0" applyFont="1" applyFill="1" applyBorder="1" applyAlignment="1">
      <alignment vertical="center"/>
    </xf>
    <xf numFmtId="0" fontId="13" fillId="52" borderId="3" xfId="0" applyFont="1" applyFill="1" applyBorder="1" applyAlignment="1" applyProtection="1">
      <alignment horizontal="right"/>
      <protection locked="0"/>
    </xf>
    <xf numFmtId="1" fontId="19" fillId="52" borderId="20" xfId="0" applyNumberFormat="1" applyFont="1" applyFill="1" applyBorder="1" applyAlignment="1">
      <alignment horizontal="right"/>
    </xf>
    <xf numFmtId="0" fontId="37" fillId="52" borderId="3" xfId="0" applyFont="1" applyFill="1" applyBorder="1" applyAlignment="1">
      <alignment vertical="center"/>
    </xf>
    <xf numFmtId="165" fontId="11" fillId="52" borderId="3" xfId="0" applyNumberFormat="1" applyFont="1" applyFill="1" applyBorder="1" applyAlignment="1" applyProtection="1">
      <alignment horizontal="right"/>
      <protection locked="0"/>
    </xf>
    <xf numFmtId="171" fontId="40" fillId="10" borderId="20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wrapText="1"/>
    </xf>
    <xf numFmtId="0" fontId="0" fillId="0" borderId="46" xfId="0" applyBorder="1"/>
    <xf numFmtId="1" fontId="0" fillId="0" borderId="74" xfId="0" applyNumberFormat="1" applyBorder="1"/>
    <xf numFmtId="1" fontId="0" fillId="0" borderId="49" xfId="0" applyNumberFormat="1" applyBorder="1"/>
    <xf numFmtId="1" fontId="0" fillId="0" borderId="46" xfId="0" applyNumberFormat="1" applyBorder="1"/>
    <xf numFmtId="1" fontId="0" fillId="15" borderId="49" xfId="0" applyNumberFormat="1" applyFill="1" applyBorder="1"/>
    <xf numFmtId="1" fontId="0" fillId="15" borderId="74" xfId="0" applyNumberFormat="1" applyFill="1" applyBorder="1"/>
    <xf numFmtId="1" fontId="0" fillId="15" borderId="46" xfId="0" applyNumberFormat="1" applyFill="1" applyBorder="1"/>
    <xf numFmtId="0" fontId="9" fillId="0" borderId="1" xfId="0" applyFont="1" applyBorder="1" applyAlignment="1">
      <alignment horizontal="center"/>
    </xf>
    <xf numFmtId="10" fontId="0" fillId="0" borderId="0" xfId="29" applyNumberFormat="1" applyFont="1"/>
    <xf numFmtId="0" fontId="9" fillId="0" borderId="46" xfId="0" applyFont="1" applyBorder="1"/>
    <xf numFmtId="1" fontId="9" fillId="0" borderId="49" xfId="0" applyNumberFormat="1" applyFont="1" applyBorder="1"/>
    <xf numFmtId="170" fontId="11" fillId="8" borderId="3" xfId="0" applyNumberFormat="1" applyFont="1" applyFill="1" applyBorder="1" applyAlignment="1">
      <alignment horizontal="right"/>
    </xf>
    <xf numFmtId="0" fontId="131" fillId="0" borderId="0" xfId="20" applyFont="1" applyAlignment="1">
      <alignment vertical="center"/>
    </xf>
    <xf numFmtId="1" fontId="131" fillId="0" borderId="0" xfId="20" applyNumberFormat="1" applyFont="1" applyAlignment="1">
      <alignment vertical="center"/>
    </xf>
    <xf numFmtId="0" fontId="108" fillId="0" borderId="23" xfId="0" applyFont="1" applyBorder="1" applyAlignment="1">
      <alignment horizontal="center" vertical="center" textRotation="90"/>
    </xf>
    <xf numFmtId="0" fontId="0" fillId="0" borderId="23" xfId="0" applyBorder="1"/>
    <xf numFmtId="1" fontId="52" fillId="7" borderId="20" xfId="0" applyNumberFormat="1" applyFont="1" applyFill="1" applyBorder="1" applyAlignment="1">
      <alignment horizontal="right"/>
    </xf>
    <xf numFmtId="1" fontId="135" fillId="0" borderId="0" xfId="0" applyNumberFormat="1" applyFont="1"/>
    <xf numFmtId="0" fontId="10" fillId="8" borderId="0" xfId="0" applyFont="1" applyFill="1" applyAlignment="1">
      <alignment horizontal="center"/>
    </xf>
    <xf numFmtId="1" fontId="14" fillId="6" borderId="0" xfId="0" applyNumberFormat="1" applyFont="1" applyFill="1"/>
    <xf numFmtId="0" fontId="9" fillId="6" borderId="0" xfId="0" applyFont="1" applyFill="1"/>
    <xf numFmtId="0" fontId="135" fillId="0" borderId="0" xfId="0" applyFont="1"/>
    <xf numFmtId="1" fontId="40" fillId="48" borderId="9" xfId="0" applyNumberFormat="1" applyFont="1" applyFill="1" applyBorder="1" applyAlignment="1">
      <alignment vertical="center"/>
    </xf>
    <xf numFmtId="1" fontId="40" fillId="48" borderId="7" xfId="0" applyNumberFormat="1" applyFont="1" applyFill="1" applyBorder="1" applyAlignment="1">
      <alignment vertical="center"/>
    </xf>
    <xf numFmtId="1" fontId="40" fillId="48" borderId="4" xfId="0" applyNumberFormat="1" applyFont="1" applyFill="1" applyBorder="1" applyAlignment="1">
      <alignment vertical="center"/>
    </xf>
    <xf numFmtId="166" fontId="13" fillId="15" borderId="3" xfId="0" applyNumberFormat="1" applyFont="1" applyFill="1" applyBorder="1" applyAlignment="1">
      <alignment horizontal="center"/>
    </xf>
    <xf numFmtId="0" fontId="111" fillId="59" borderId="3" xfId="25" applyFont="1" applyFill="1" applyBorder="1" applyAlignment="1">
      <alignment horizontal="left" vertical="center"/>
    </xf>
    <xf numFmtId="0" fontId="111" fillId="59" borderId="3" xfId="0" applyFont="1" applyFill="1" applyBorder="1" applyAlignment="1">
      <alignment horizontal="center" vertical="center"/>
    </xf>
    <xf numFmtId="166" fontId="111" fillId="59" borderId="3" xfId="0" applyNumberFormat="1" applyFont="1" applyFill="1" applyBorder="1" applyAlignment="1">
      <alignment horizontal="center" vertical="center"/>
    </xf>
    <xf numFmtId="0" fontId="111" fillId="59" borderId="3" xfId="0" applyFont="1" applyFill="1" applyBorder="1" applyAlignment="1" applyProtection="1">
      <alignment horizontal="right"/>
      <protection locked="0"/>
    </xf>
    <xf numFmtId="0" fontId="111" fillId="59" borderId="3" xfId="0" applyFont="1" applyFill="1" applyBorder="1" applyAlignment="1">
      <alignment horizontal="right"/>
    </xf>
    <xf numFmtId="1" fontId="111" fillId="59" borderId="20" xfId="0" applyNumberFormat="1" applyFont="1" applyFill="1" applyBorder="1" applyAlignment="1">
      <alignment horizontal="right"/>
    </xf>
    <xf numFmtId="0" fontId="112" fillId="59" borderId="3" xfId="25" applyFont="1" applyFill="1" applyBorder="1" applyAlignment="1">
      <alignment horizontal="left" vertical="center"/>
    </xf>
    <xf numFmtId="0" fontId="112" fillId="59" borderId="3" xfId="0" applyFont="1" applyFill="1" applyBorder="1" applyAlignment="1">
      <alignment horizontal="center" vertical="center"/>
    </xf>
    <xf numFmtId="0" fontId="112" fillId="59" borderId="3" xfId="0" applyFont="1" applyFill="1" applyBorder="1" applyAlignment="1" applyProtection="1">
      <alignment horizontal="right"/>
      <protection locked="0"/>
    </xf>
    <xf numFmtId="1" fontId="113" fillId="59" borderId="20" xfId="0" applyNumberFormat="1" applyFont="1" applyFill="1" applyBorder="1" applyAlignment="1">
      <alignment horizontal="right"/>
    </xf>
    <xf numFmtId="165" fontId="114" fillId="59" borderId="3" xfId="0" applyNumberFormat="1" applyFont="1" applyFill="1" applyBorder="1" applyAlignment="1">
      <alignment horizontal="center" vertical="center"/>
    </xf>
    <xf numFmtId="169" fontId="111" fillId="59" borderId="3" xfId="0" applyNumberFormat="1" applyFont="1" applyFill="1" applyBorder="1" applyAlignment="1" applyProtection="1">
      <alignment horizontal="right"/>
      <protection locked="0"/>
    </xf>
    <xf numFmtId="171" fontId="40" fillId="10" borderId="20" xfId="0" applyNumberFormat="1" applyFont="1" applyFill="1" applyBorder="1" applyAlignment="1">
      <alignment horizontal="right"/>
    </xf>
    <xf numFmtId="17" fontId="31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/>
    <xf numFmtId="1" fontId="17" fillId="0" borderId="3" xfId="0" applyNumberFormat="1" applyFont="1" applyBorder="1" applyAlignment="1">
      <alignment vertical="center"/>
    </xf>
    <xf numFmtId="1" fontId="24" fillId="0" borderId="3" xfId="0" applyNumberFormat="1" applyFont="1" applyBorder="1"/>
    <xf numFmtId="1" fontId="24" fillId="0" borderId="19" xfId="0" applyNumberFormat="1" applyFont="1" applyBorder="1"/>
    <xf numFmtId="1" fontId="40" fillId="0" borderId="9" xfId="0" applyNumberFormat="1" applyFont="1" applyBorder="1" applyAlignment="1">
      <alignment vertical="center"/>
    </xf>
    <xf numFmtId="1" fontId="40" fillId="0" borderId="7" xfId="0" applyNumberFormat="1" applyFont="1" applyBorder="1" applyAlignment="1">
      <alignment vertical="center"/>
    </xf>
    <xf numFmtId="1" fontId="40" fillId="0" borderId="4" xfId="0" applyNumberFormat="1" applyFont="1" applyBorder="1" applyAlignment="1">
      <alignment vertical="center"/>
    </xf>
    <xf numFmtId="1" fontId="40" fillId="0" borderId="9" xfId="0" applyNumberFormat="1" applyFont="1" applyBorder="1"/>
    <xf numFmtId="1" fontId="31" fillId="0" borderId="19" xfId="0" applyNumberFormat="1" applyFont="1" applyBorder="1"/>
    <xf numFmtId="1" fontId="40" fillId="0" borderId="4" xfId="0" applyNumberFormat="1" applyFont="1" applyBorder="1"/>
    <xf numFmtId="1" fontId="31" fillId="0" borderId="3" xfId="0" applyNumberFormat="1" applyFont="1" applyBorder="1"/>
    <xf numFmtId="1" fontId="31" fillId="0" borderId="9" xfId="0" applyNumberFormat="1" applyFont="1" applyBorder="1"/>
    <xf numFmtId="1" fontId="31" fillId="0" borderId="19" xfId="0" applyNumberFormat="1" applyFont="1" applyBorder="1" applyAlignment="1">
      <alignment vertical="center"/>
    </xf>
    <xf numFmtId="0" fontId="31" fillId="0" borderId="6" xfId="0" applyFont="1" applyBorder="1" applyAlignment="1">
      <alignment vertical="center"/>
    </xf>
    <xf numFmtId="1" fontId="40" fillId="0" borderId="27" xfId="0" applyNumberFormat="1" applyFont="1" applyBorder="1"/>
    <xf numFmtId="1" fontId="40" fillId="0" borderId="3" xfId="0" applyNumberFormat="1" applyFont="1" applyBorder="1" applyAlignment="1">
      <alignment vertical="center"/>
    </xf>
    <xf numFmtId="1" fontId="40" fillId="0" borderId="3" xfId="0" applyNumberFormat="1" applyFont="1" applyBorder="1" applyAlignment="1">
      <alignment horizontal="right"/>
    </xf>
    <xf numFmtId="10" fontId="0" fillId="60" borderId="1" xfId="0" applyNumberFormat="1" applyFill="1" applyBorder="1"/>
    <xf numFmtId="168" fontId="40" fillId="10" borderId="17" xfId="1" applyNumberFormat="1" applyFont="1" applyFill="1" applyBorder="1" applyAlignment="1" applyProtection="1">
      <alignment horizontal="left" vertical="center"/>
    </xf>
    <xf numFmtId="1" fontId="40" fillId="10" borderId="3" xfId="0" applyNumberFormat="1" applyFont="1" applyFill="1" applyBorder="1" applyAlignment="1">
      <alignment horizontal="right" vertical="center"/>
    </xf>
    <xf numFmtId="1" fontId="9" fillId="0" borderId="1" xfId="0" applyNumberFormat="1" applyFont="1" applyBorder="1" applyAlignment="1">
      <alignment vertical="center"/>
    </xf>
    <xf numFmtId="0" fontId="111" fillId="12" borderId="3" xfId="0" applyFont="1" applyFill="1" applyBorder="1" applyAlignment="1">
      <alignment vertical="center"/>
    </xf>
    <xf numFmtId="0" fontId="111" fillId="12" borderId="3" xfId="10" quotePrefix="1" applyFont="1" applyFill="1" applyBorder="1" applyAlignment="1">
      <alignment horizontal="center" vertical="center"/>
    </xf>
    <xf numFmtId="165" fontId="111" fillId="12" borderId="3" xfId="0" applyNumberFormat="1" applyFont="1" applyFill="1" applyBorder="1" applyAlignment="1">
      <alignment horizontal="center" vertical="center"/>
    </xf>
    <xf numFmtId="2" fontId="111" fillId="12" borderId="3" xfId="10" applyNumberFormat="1" applyFont="1" applyFill="1" applyBorder="1" applyAlignment="1">
      <alignment horizontal="right"/>
    </xf>
    <xf numFmtId="0" fontId="111" fillId="12" borderId="3" xfId="20" applyFont="1" applyFill="1" applyBorder="1" applyAlignment="1">
      <alignment vertical="center"/>
    </xf>
    <xf numFmtId="169" fontId="111" fillId="12" borderId="3" xfId="0" applyNumberFormat="1" applyFont="1" applyFill="1" applyBorder="1" applyAlignment="1">
      <alignment horizontal="right"/>
    </xf>
    <xf numFmtId="0" fontId="19" fillId="7" borderId="3" xfId="0" applyFont="1" applyFill="1" applyBorder="1" applyAlignment="1">
      <alignment vertical="center"/>
    </xf>
    <xf numFmtId="0" fontId="19" fillId="8" borderId="3" xfId="0" applyFont="1" applyFill="1" applyBorder="1" applyAlignment="1">
      <alignment horizontal="left" vertical="center" shrinkToFit="1"/>
    </xf>
    <xf numFmtId="0" fontId="9" fillId="8" borderId="0" xfId="0" applyFont="1" applyFill="1"/>
    <xf numFmtId="1" fontId="14" fillId="10" borderId="0" xfId="0" applyNumberFormat="1" applyFont="1" applyFill="1"/>
    <xf numFmtId="1" fontId="47" fillId="58" borderId="3" xfId="0" applyNumberFormat="1" applyFont="1" applyFill="1" applyBorder="1"/>
    <xf numFmtId="0" fontId="17" fillId="0" borderId="4" xfId="0" applyFont="1" applyBorder="1"/>
    <xf numFmtId="0" fontId="17" fillId="0" borderId="4" xfId="0" applyFont="1" applyBorder="1" applyAlignment="1">
      <alignment horizontal="center"/>
    </xf>
    <xf numFmtId="1" fontId="17" fillId="17" borderId="4" xfId="0" applyNumberFormat="1" applyFont="1" applyFill="1" applyBorder="1"/>
    <xf numFmtId="1" fontId="17" fillId="48" borderId="4" xfId="0" applyNumberFormat="1" applyFont="1" applyFill="1" applyBorder="1"/>
    <xf numFmtId="1" fontId="17" fillId="0" borderId="4" xfId="0" applyNumberFormat="1" applyFont="1" applyBorder="1"/>
    <xf numFmtId="1" fontId="47" fillId="58" borderId="9" xfId="0" applyNumberFormat="1" applyFont="1" applyFill="1" applyBorder="1"/>
    <xf numFmtId="0" fontId="47" fillId="0" borderId="21" xfId="0" applyFont="1" applyBorder="1"/>
    <xf numFmtId="0" fontId="47" fillId="0" borderId="9" xfId="0" applyFont="1" applyBorder="1"/>
    <xf numFmtId="1" fontId="47" fillId="0" borderId="9" xfId="0" applyNumberFormat="1" applyFont="1" applyBorder="1"/>
    <xf numFmtId="9" fontId="47" fillId="0" borderId="0" xfId="29" applyFont="1"/>
    <xf numFmtId="0" fontId="47" fillId="0" borderId="0" xfId="0" applyFont="1"/>
    <xf numFmtId="1" fontId="0" fillId="52" borderId="4" xfId="0" applyNumberFormat="1" applyFill="1" applyBorder="1"/>
    <xf numFmtId="1" fontId="47" fillId="52" borderId="3" xfId="0" applyNumberFormat="1" applyFont="1" applyFill="1" applyBorder="1"/>
    <xf numFmtId="1" fontId="47" fillId="52" borderId="9" xfId="0" applyNumberFormat="1" applyFont="1" applyFill="1" applyBorder="1"/>
    <xf numFmtId="1" fontId="0" fillId="52" borderId="19" xfId="0" applyNumberFormat="1" applyFill="1" applyBorder="1"/>
    <xf numFmtId="1" fontId="31" fillId="10" borderId="3" xfId="0" applyNumberFormat="1" applyFont="1" applyFill="1" applyBorder="1" applyAlignment="1">
      <alignment horizontal="right" vertical="center"/>
    </xf>
    <xf numFmtId="0" fontId="48" fillId="0" borderId="3" xfId="0" applyFont="1" applyBorder="1" applyAlignment="1">
      <alignment horizontal="left" vertical="center" shrinkToFit="1"/>
    </xf>
    <xf numFmtId="0" fontId="48" fillId="0" borderId="3" xfId="0" applyFont="1" applyBorder="1" applyAlignment="1">
      <alignment horizontal="center" vertical="center"/>
    </xf>
    <xf numFmtId="166" fontId="48" fillId="0" borderId="3" xfId="0" applyNumberFormat="1" applyFont="1" applyBorder="1" applyAlignment="1">
      <alignment horizontal="center" vertical="center"/>
    </xf>
    <xf numFmtId="0" fontId="48" fillId="0" borderId="3" xfId="0" applyFont="1" applyBorder="1" applyAlignment="1" applyProtection="1">
      <alignment horizontal="right"/>
      <protection locked="0"/>
    </xf>
    <xf numFmtId="0" fontId="48" fillId="0" borderId="3" xfId="0" applyFont="1" applyBorder="1" applyAlignment="1">
      <alignment horizontal="right"/>
    </xf>
    <xf numFmtId="1" fontId="48" fillId="0" borderId="20" xfId="0" applyNumberFormat="1" applyFont="1" applyBorder="1" applyAlignment="1">
      <alignment horizontal="right"/>
    </xf>
    <xf numFmtId="0" fontId="48" fillId="0" borderId="3" xfId="0" applyFont="1" applyBorder="1" applyAlignment="1">
      <alignment horizontal="center" vertical="center" shrinkToFit="1"/>
    </xf>
    <xf numFmtId="1" fontId="12" fillId="61" borderId="20" xfId="0" applyNumberFormat="1" applyFont="1" applyFill="1" applyBorder="1" applyAlignment="1">
      <alignment horizontal="right"/>
    </xf>
    <xf numFmtId="1" fontId="137" fillId="47" borderId="20" xfId="0" applyNumberFormat="1" applyFont="1" applyFill="1" applyBorder="1" applyAlignment="1">
      <alignment horizontal="right"/>
    </xf>
    <xf numFmtId="0" fontId="111" fillId="13" borderId="3" xfId="10" quotePrefix="1" applyFont="1" applyFill="1" applyBorder="1" applyAlignment="1">
      <alignment horizontal="center" vertical="center"/>
    </xf>
    <xf numFmtId="2" fontId="111" fillId="13" borderId="3" xfId="10" applyNumberFormat="1" applyFont="1" applyFill="1" applyBorder="1" applyAlignment="1">
      <alignment horizontal="right"/>
    </xf>
    <xf numFmtId="0" fontId="111" fillId="13" borderId="3" xfId="10" applyFont="1" applyFill="1" applyBorder="1" applyAlignment="1">
      <alignment horizontal="right"/>
    </xf>
    <xf numFmtId="0" fontId="117" fillId="13" borderId="3" xfId="0" applyFont="1" applyFill="1" applyBorder="1" applyAlignment="1">
      <alignment horizontal="center" vertical="center"/>
    </xf>
    <xf numFmtId="166" fontId="112" fillId="13" borderId="3" xfId="0" applyNumberFormat="1" applyFont="1" applyFill="1" applyBorder="1" applyAlignment="1">
      <alignment horizontal="center" vertical="center"/>
    </xf>
    <xf numFmtId="0" fontId="111" fillId="13" borderId="0" xfId="0" applyFont="1" applyFill="1" applyAlignment="1">
      <alignment horizontal="center" vertical="center"/>
    </xf>
    <xf numFmtId="165" fontId="111" fillId="13" borderId="0" xfId="0" applyNumberFormat="1" applyFont="1" applyFill="1" applyAlignment="1">
      <alignment horizontal="center" vertical="center"/>
    </xf>
    <xf numFmtId="1" fontId="112" fillId="12" borderId="20" xfId="0" applyNumberFormat="1" applyFont="1" applyFill="1" applyBorder="1" applyAlignment="1">
      <alignment horizontal="right"/>
    </xf>
    <xf numFmtId="0" fontId="138" fillId="0" borderId="3" xfId="17" applyFont="1" applyBorder="1" applyAlignment="1">
      <alignment horizontal="left" vertical="center"/>
    </xf>
    <xf numFmtId="0" fontId="138" fillId="2" borderId="3" xfId="0" applyFont="1" applyFill="1" applyBorder="1" applyAlignment="1">
      <alignment horizontal="center" vertical="center"/>
    </xf>
    <xf numFmtId="166" fontId="138" fillId="2" borderId="3" xfId="0" applyNumberFormat="1" applyFont="1" applyFill="1" applyBorder="1" applyAlignment="1">
      <alignment horizontal="center" vertical="center"/>
    </xf>
    <xf numFmtId="0" fontId="139" fillId="15" borderId="3" xfId="21" applyFont="1" applyFill="1" applyBorder="1" applyAlignment="1">
      <alignment horizontal="right"/>
    </xf>
    <xf numFmtId="0" fontId="138" fillId="2" borderId="3" xfId="0" applyFont="1" applyFill="1" applyBorder="1" applyAlignment="1">
      <alignment horizontal="right"/>
    </xf>
    <xf numFmtId="1" fontId="138" fillId="2" borderId="20" xfId="0" applyNumberFormat="1" applyFont="1" applyFill="1" applyBorder="1" applyAlignment="1">
      <alignment horizontal="right"/>
    </xf>
    <xf numFmtId="0" fontId="140" fillId="3" borderId="3" xfId="17" applyFont="1" applyFill="1" applyBorder="1" applyAlignment="1">
      <alignment horizontal="left" vertical="center"/>
    </xf>
    <xf numFmtId="0" fontId="140" fillId="8" borderId="3" xfId="0" applyFont="1" applyFill="1" applyBorder="1" applyAlignment="1">
      <alignment horizontal="center" vertical="center"/>
    </xf>
    <xf numFmtId="166" fontId="138" fillId="8" borderId="3" xfId="0" applyNumberFormat="1" applyFont="1" applyFill="1" applyBorder="1" applyAlignment="1">
      <alignment horizontal="center" vertical="center"/>
    </xf>
    <xf numFmtId="0" fontId="138" fillId="3" borderId="3" xfId="0" applyFont="1" applyFill="1" applyBorder="1" applyAlignment="1" applyProtection="1">
      <alignment horizontal="right"/>
      <protection locked="0"/>
    </xf>
    <xf numFmtId="0" fontId="138" fillId="3" borderId="3" xfId="0" applyFont="1" applyFill="1" applyBorder="1" applyAlignment="1">
      <alignment horizontal="right"/>
    </xf>
    <xf numFmtId="0" fontId="138" fillId="8" borderId="3" xfId="0" applyFont="1" applyFill="1" applyBorder="1" applyAlignment="1">
      <alignment horizontal="right"/>
    </xf>
    <xf numFmtId="0" fontId="141" fillId="3" borderId="20" xfId="0" applyFont="1" applyFill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right"/>
    </xf>
    <xf numFmtId="174" fontId="10" fillId="0" borderId="1" xfId="0" applyNumberFormat="1" applyFont="1" applyBorder="1" applyAlignment="1">
      <alignment horizontal="left"/>
    </xf>
    <xf numFmtId="175" fontId="0" fillId="0" borderId="1" xfId="0" applyNumberFormat="1" applyBorder="1"/>
    <xf numFmtId="0" fontId="14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1" xfId="0" applyFont="1" applyBorder="1"/>
    <xf numFmtId="0" fontId="9" fillId="0" borderId="1" xfId="0" applyFont="1" applyBorder="1" applyAlignment="1">
      <alignment horizontal="left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3" fontId="10" fillId="0" borderId="1" xfId="0" applyNumberFormat="1" applyFont="1" applyBorder="1"/>
    <xf numFmtId="0" fontId="10" fillId="0" borderId="46" xfId="0" applyFont="1" applyBorder="1" applyAlignment="1">
      <alignment horizontal="center"/>
    </xf>
    <xf numFmtId="0" fontId="0" fillId="0" borderId="29" xfId="0" applyBorder="1"/>
    <xf numFmtId="0" fontId="111" fillId="0" borderId="3" xfId="0" applyFont="1" applyBorder="1" applyAlignment="1">
      <alignment horizontal="right"/>
    </xf>
    <xf numFmtId="0" fontId="112" fillId="8" borderId="3" xfId="0" applyFont="1" applyFill="1" applyBorder="1" applyAlignment="1">
      <alignment horizontal="center" vertical="center"/>
    </xf>
    <xf numFmtId="166" fontId="111" fillId="8" borderId="3" xfId="0" applyNumberFormat="1" applyFont="1" applyFill="1" applyBorder="1" applyAlignment="1">
      <alignment horizontal="center" vertical="center"/>
    </xf>
    <xf numFmtId="0" fontId="112" fillId="8" borderId="3" xfId="0" applyFont="1" applyFill="1" applyBorder="1" applyAlignment="1" applyProtection="1">
      <alignment horizontal="right"/>
      <protection locked="0"/>
    </xf>
    <xf numFmtId="0" fontId="112" fillId="8" borderId="3" xfId="0" applyFont="1" applyFill="1" applyBorder="1" applyAlignment="1">
      <alignment horizontal="right"/>
    </xf>
    <xf numFmtId="0" fontId="111" fillId="8" borderId="3" xfId="0" applyFont="1" applyFill="1" applyBorder="1" applyAlignment="1">
      <alignment horizontal="right"/>
    </xf>
    <xf numFmtId="0" fontId="17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/>
    </xf>
    <xf numFmtId="1" fontId="17" fillId="0" borderId="9" xfId="0" applyNumberFormat="1" applyFont="1" applyBorder="1"/>
    <xf numFmtId="1" fontId="24" fillId="17" borderId="9" xfId="0" applyNumberFormat="1" applyFont="1" applyFill="1" applyBorder="1"/>
    <xf numFmtId="0" fontId="10" fillId="0" borderId="37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1" fontId="9" fillId="0" borderId="6" xfId="0" applyNumberFormat="1" applyFont="1" applyBorder="1" applyAlignment="1">
      <alignment horizontal="right" vertical="center"/>
    </xf>
    <xf numFmtId="1" fontId="9" fillId="58" borderId="6" xfId="0" applyNumberFormat="1" applyFont="1" applyFill="1" applyBorder="1" applyAlignment="1">
      <alignment horizontal="right" vertical="center"/>
    </xf>
    <xf numFmtId="1" fontId="9" fillId="52" borderId="6" xfId="0" applyNumberFormat="1" applyFont="1" applyFill="1" applyBorder="1" applyAlignment="1">
      <alignment horizontal="right" vertical="center"/>
    </xf>
    <xf numFmtId="171" fontId="24" fillId="10" borderId="20" xfId="0" applyNumberFormat="1" applyFont="1" applyFill="1" applyBorder="1" applyAlignment="1">
      <alignment horizontal="center"/>
    </xf>
    <xf numFmtId="0" fontId="10" fillId="62" borderId="0" xfId="0" applyFont="1" applyFill="1"/>
    <xf numFmtId="171" fontId="40" fillId="10" borderId="25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/>
    <xf numFmtId="172" fontId="14" fillId="0" borderId="0" xfId="0" applyNumberFormat="1" applyFont="1"/>
    <xf numFmtId="176" fontId="14" fillId="0" borderId="0" xfId="0" applyNumberFormat="1" applyFont="1"/>
    <xf numFmtId="0" fontId="47" fillId="8" borderId="0" xfId="0" applyFont="1" applyFill="1"/>
    <xf numFmtId="1" fontId="143" fillId="9" borderId="20" xfId="0" applyNumberFormat="1" applyFont="1" applyFill="1" applyBorder="1" applyAlignment="1">
      <alignment horizontal="right" vertical="center"/>
    </xf>
    <xf numFmtId="0" fontId="143" fillId="10" borderId="26" xfId="0" applyFont="1" applyFill="1" applyBorder="1" applyAlignment="1">
      <alignment horizontal="center" vertical="center" wrapText="1"/>
    </xf>
    <xf numFmtId="0" fontId="143" fillId="10" borderId="21" xfId="0" applyFont="1" applyFill="1" applyBorder="1" applyAlignment="1">
      <alignment horizontal="center" vertical="center" wrapText="1"/>
    </xf>
    <xf numFmtId="0" fontId="144" fillId="0" borderId="3" xfId="0" applyFont="1" applyBorder="1" applyAlignment="1">
      <alignment horizontal="left" vertical="center" shrinkToFit="1"/>
    </xf>
    <xf numFmtId="0" fontId="144" fillId="0" borderId="3" xfId="0" applyFont="1" applyBorder="1" applyAlignment="1">
      <alignment horizontal="center" vertical="center"/>
    </xf>
    <xf numFmtId="166" fontId="144" fillId="0" borderId="3" xfId="0" applyNumberFormat="1" applyFont="1" applyBorder="1" applyAlignment="1">
      <alignment horizontal="center" vertical="center"/>
    </xf>
    <xf numFmtId="0" fontId="144" fillId="0" borderId="3" xfId="0" applyFont="1" applyBorder="1" applyAlignment="1" applyProtection="1">
      <alignment horizontal="right"/>
      <protection locked="0"/>
    </xf>
    <xf numFmtId="0" fontId="144" fillId="0" borderId="3" xfId="0" applyFont="1" applyBorder="1" applyAlignment="1">
      <alignment horizontal="right"/>
    </xf>
    <xf numFmtId="0" fontId="9" fillId="3" borderId="0" xfId="0" applyFont="1" applyFill="1"/>
    <xf numFmtId="0" fontId="145" fillId="0" borderId="0" xfId="0" applyFont="1"/>
    <xf numFmtId="0" fontId="146" fillId="63" borderId="75" xfId="92" applyFont="1" applyFill="1" applyBorder="1" applyAlignment="1">
      <alignment horizontal="center" vertical="center"/>
    </xf>
    <xf numFmtId="0" fontId="146" fillId="63" borderId="69" xfId="92" applyFont="1" applyFill="1" applyBorder="1" applyAlignment="1">
      <alignment horizontal="center" vertical="center"/>
    </xf>
    <xf numFmtId="1" fontId="48" fillId="2" borderId="20" xfId="0" applyNumberFormat="1" applyFont="1" applyFill="1" applyBorder="1" applyAlignment="1">
      <alignment horizontal="right"/>
    </xf>
    <xf numFmtId="166" fontId="11" fillId="10" borderId="76" xfId="33" applyNumberFormat="1" applyFont="1" applyFill="1" applyBorder="1" applyAlignment="1">
      <alignment horizontal="right" vertical="center"/>
    </xf>
    <xf numFmtId="166" fontId="11" fillId="10" borderId="3" xfId="33" applyNumberFormat="1" applyFont="1" applyFill="1" applyBorder="1" applyAlignment="1">
      <alignment horizontal="right" vertical="center"/>
    </xf>
    <xf numFmtId="1" fontId="11" fillId="10" borderId="19" xfId="33" applyNumberFormat="1" applyFont="1" applyFill="1" applyBorder="1" applyAlignment="1">
      <alignment horizontal="right" vertical="center"/>
    </xf>
    <xf numFmtId="0" fontId="11" fillId="61" borderId="3" xfId="0" applyFont="1" applyFill="1" applyBorder="1" applyAlignment="1" applyProtection="1">
      <alignment horizontal="right"/>
      <protection locked="0"/>
    </xf>
    <xf numFmtId="165" fontId="48" fillId="20" borderId="3" xfId="0" applyNumberFormat="1" applyFont="1" applyFill="1" applyBorder="1" applyAlignment="1">
      <alignment horizontal="right"/>
    </xf>
    <xf numFmtId="0" fontId="48" fillId="2" borderId="3" xfId="0" applyFont="1" applyFill="1" applyBorder="1" applyAlignment="1">
      <alignment horizontal="right"/>
    </xf>
    <xf numFmtId="1" fontId="172" fillId="8" borderId="20" xfId="0" applyNumberFormat="1" applyFont="1" applyFill="1" applyBorder="1" applyAlignment="1">
      <alignment horizontal="right"/>
    </xf>
    <xf numFmtId="1" fontId="171" fillId="9" borderId="20" xfId="0" applyNumberFormat="1" applyFont="1" applyFill="1" applyBorder="1" applyAlignment="1">
      <alignment horizontal="right"/>
    </xf>
    <xf numFmtId="1" fontId="173" fillId="2" borderId="20" xfId="0" applyNumberFormat="1" applyFont="1" applyFill="1" applyBorder="1" applyAlignment="1">
      <alignment horizontal="right"/>
    </xf>
    <xf numFmtId="1" fontId="172" fillId="3" borderId="20" xfId="0" applyNumberFormat="1" applyFont="1" applyFill="1" applyBorder="1" applyAlignment="1">
      <alignment horizontal="right"/>
    </xf>
    <xf numFmtId="1" fontId="174" fillId="5" borderId="46" xfId="0" applyNumberFormat="1" applyFont="1" applyFill="1" applyBorder="1" applyAlignment="1">
      <alignment vertical="center"/>
    </xf>
    <xf numFmtId="1" fontId="175" fillId="8" borderId="20" xfId="0" applyNumberFormat="1" applyFont="1" applyFill="1" applyBorder="1" applyAlignment="1">
      <alignment horizontal="right"/>
    </xf>
    <xf numFmtId="1" fontId="176" fillId="0" borderId="20" xfId="0" applyNumberFormat="1" applyFont="1" applyBorder="1" applyAlignment="1">
      <alignment horizontal="right"/>
    </xf>
    <xf numFmtId="1" fontId="177" fillId="8" borderId="20" xfId="0" applyNumberFormat="1" applyFont="1" applyFill="1" applyBorder="1" applyAlignment="1">
      <alignment horizontal="right"/>
    </xf>
    <xf numFmtId="1" fontId="177" fillId="2" borderId="20" xfId="0" applyNumberFormat="1" applyFont="1" applyFill="1" applyBorder="1" applyAlignment="1">
      <alignment horizontal="right"/>
    </xf>
    <xf numFmtId="1" fontId="178" fillId="18" borderId="20" xfId="0" applyNumberFormat="1" applyFont="1" applyFill="1" applyBorder="1" applyAlignment="1">
      <alignment horizontal="right"/>
    </xf>
    <xf numFmtId="1" fontId="179" fillId="2" borderId="3" xfId="0" applyNumberFormat="1" applyFont="1" applyFill="1" applyBorder="1" applyAlignment="1">
      <alignment horizontal="right"/>
    </xf>
    <xf numFmtId="1" fontId="143" fillId="9" borderId="20" xfId="0" applyNumberFormat="1" applyFont="1" applyFill="1" applyBorder="1" applyAlignment="1">
      <alignment horizontal="right"/>
    </xf>
    <xf numFmtId="1" fontId="171" fillId="9" borderId="39" xfId="0" applyNumberFormat="1" applyFont="1" applyFill="1" applyBorder="1" applyAlignment="1">
      <alignment horizontal="right"/>
    </xf>
    <xf numFmtId="0" fontId="9" fillId="0" borderId="1" xfId="0" applyFont="1" applyBorder="1" applyAlignment="1">
      <alignment vertical="center"/>
    </xf>
    <xf numFmtId="1" fontId="12" fillId="9" borderId="20" xfId="0" applyNumberFormat="1" applyFont="1" applyFill="1" applyBorder="1" applyAlignment="1">
      <alignment horizontal="right"/>
    </xf>
    <xf numFmtId="1" fontId="12" fillId="4" borderId="25" xfId="0" applyNumberFormat="1" applyFont="1" applyFill="1" applyBorder="1"/>
    <xf numFmtId="0" fontId="0" fillId="95" borderId="1" xfId="0" applyFill="1" applyBorder="1"/>
    <xf numFmtId="1" fontId="0" fillId="95" borderId="1" xfId="0" applyNumberFormat="1" applyFill="1" applyBorder="1"/>
    <xf numFmtId="3" fontId="0" fillId="95" borderId="1" xfId="0" applyNumberFormat="1" applyFill="1" applyBorder="1"/>
    <xf numFmtId="0" fontId="127" fillId="0" borderId="3" xfId="0" applyFont="1" applyBorder="1" applyAlignment="1">
      <alignment horizontal="center" vertical="center"/>
    </xf>
    <xf numFmtId="1" fontId="127" fillId="0" borderId="20" xfId="0" applyNumberFormat="1" applyFont="1" applyBorder="1" applyAlignment="1">
      <alignment horizontal="right"/>
    </xf>
    <xf numFmtId="0" fontId="9" fillId="3" borderId="0" xfId="0" applyFont="1" applyFill="1" applyAlignment="1">
      <alignment horizontal="center"/>
    </xf>
    <xf numFmtId="1" fontId="135" fillId="5" borderId="0" xfId="0" applyNumberFormat="1" applyFont="1" applyFill="1"/>
    <xf numFmtId="1" fontId="13" fillId="9" borderId="20" xfId="0" applyNumberFormat="1" applyFont="1" applyFill="1" applyBorder="1" applyAlignment="1">
      <alignment horizontal="right"/>
    </xf>
    <xf numFmtId="0" fontId="19" fillId="8" borderId="3" xfId="0" applyFont="1" applyFill="1" applyBorder="1" applyAlignment="1">
      <alignment horizontal="left" vertical="center" wrapText="1"/>
    </xf>
    <xf numFmtId="0" fontId="0" fillId="49" borderId="0" xfId="0" applyFill="1"/>
    <xf numFmtId="0" fontId="0" fillId="96" borderId="0" xfId="0" applyFill="1"/>
    <xf numFmtId="0" fontId="0" fillId="18" borderId="0" xfId="0" applyFill="1"/>
    <xf numFmtId="168" fontId="31" fillId="18" borderId="3" xfId="1" applyNumberFormat="1" applyFont="1" applyFill="1" applyBorder="1" applyAlignment="1" applyProtection="1">
      <alignment horizontal="left" vertical="center"/>
    </xf>
    <xf numFmtId="0" fontId="9" fillId="0" borderId="0" xfId="27" applyAlignment="1">
      <alignment horizontal="center"/>
    </xf>
    <xf numFmtId="0" fontId="62" fillId="0" borderId="37" xfId="27" applyFont="1" applyBorder="1" applyAlignment="1">
      <alignment horizontal="left" vertical="top" wrapText="1"/>
    </xf>
    <xf numFmtId="0" fontId="62" fillId="0" borderId="6" xfId="27" applyFont="1" applyBorder="1" applyAlignment="1">
      <alignment horizontal="left" vertical="top" wrapText="1"/>
    </xf>
    <xf numFmtId="0" fontId="62" fillId="0" borderId="36" xfId="27" applyFont="1" applyBorder="1" applyAlignment="1">
      <alignment horizontal="left" vertical="top" wrapText="1"/>
    </xf>
    <xf numFmtId="0" fontId="62" fillId="0" borderId="45" xfId="27" applyFont="1" applyBorder="1" applyAlignment="1">
      <alignment horizontal="left" vertical="top" wrapText="1"/>
    </xf>
    <xf numFmtId="0" fontId="62" fillId="0" borderId="23" xfId="27" applyFont="1" applyBorder="1" applyAlignment="1">
      <alignment horizontal="left" vertical="top" wrapText="1"/>
    </xf>
    <xf numFmtId="0" fontId="62" fillId="0" borderId="34" xfId="27" applyFont="1" applyBorder="1" applyAlignment="1">
      <alignment horizontal="left" vertical="top" wrapText="1"/>
    </xf>
    <xf numFmtId="0" fontId="44" fillId="0" borderId="37" xfId="28" applyFont="1" applyBorder="1" applyAlignment="1">
      <alignment horizontal="center" vertical="center" textRotation="90" wrapText="1"/>
    </xf>
    <xf numFmtId="0" fontId="44" fillId="0" borderId="2" xfId="28" applyFont="1" applyBorder="1" applyAlignment="1">
      <alignment horizontal="center" vertical="center" textRotation="90" wrapText="1"/>
    </xf>
    <xf numFmtId="0" fontId="44" fillId="0" borderId="45" xfId="28" applyFont="1" applyBorder="1" applyAlignment="1">
      <alignment horizontal="center" vertical="center" textRotation="90" wrapText="1"/>
    </xf>
    <xf numFmtId="0" fontId="41" fillId="0" borderId="41" xfId="13" applyFont="1" applyBorder="1" applyAlignment="1">
      <alignment horizontal="left" vertical="center"/>
    </xf>
    <xf numFmtId="0" fontId="41" fillId="0" borderId="42" xfId="13" applyFont="1" applyBorder="1" applyAlignment="1">
      <alignment horizontal="left" vertical="center"/>
    </xf>
    <xf numFmtId="0" fontId="41" fillId="0" borderId="18" xfId="13" applyFont="1" applyBorder="1" applyAlignment="1">
      <alignment horizontal="left" vertical="center"/>
    </xf>
    <xf numFmtId="0" fontId="56" fillId="0" borderId="0" xfId="28" applyFont="1" applyAlignment="1">
      <alignment horizontal="center" vertical="center"/>
    </xf>
    <xf numFmtId="0" fontId="68" fillId="0" borderId="0" xfId="27" applyFont="1" applyAlignment="1">
      <alignment horizontal="left" shrinkToFit="1"/>
    </xf>
    <xf numFmtId="1" fontId="62" fillId="0" borderId="49" xfId="27" applyNumberFormat="1" applyFont="1" applyBorder="1" applyAlignment="1">
      <alignment horizontal="center" vertical="center" shrinkToFit="1"/>
    </xf>
    <xf numFmtId="1" fontId="62" fillId="0" borderId="46" xfId="27" applyNumberFormat="1" applyFont="1" applyBorder="1" applyAlignment="1">
      <alignment horizontal="center" vertical="center" shrinkToFit="1"/>
    </xf>
    <xf numFmtId="0" fontId="62" fillId="0" borderId="49" xfId="27" applyFont="1" applyBorder="1" applyAlignment="1">
      <alignment horizontal="left" vertical="center"/>
    </xf>
    <xf numFmtId="0" fontId="62" fillId="0" borderId="46" xfId="27" applyFont="1" applyBorder="1" applyAlignment="1">
      <alignment horizontal="left" vertical="center"/>
    </xf>
    <xf numFmtId="0" fontId="59" fillId="0" borderId="0" xfId="28" applyFont="1" applyAlignment="1">
      <alignment horizontal="left" vertical="center"/>
    </xf>
    <xf numFmtId="173" fontId="60" fillId="0" borderId="0" xfId="28" applyNumberFormat="1" applyFont="1" applyAlignment="1">
      <alignment horizontal="right" vertical="center"/>
    </xf>
    <xf numFmtId="0" fontId="9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textRotation="90"/>
    </xf>
    <xf numFmtId="0" fontId="18" fillId="2" borderId="12" xfId="0" applyFont="1" applyFill="1" applyBorder="1" applyAlignment="1">
      <alignment horizontal="center" vertical="center" textRotation="90"/>
    </xf>
    <xf numFmtId="0" fontId="18" fillId="2" borderId="29" xfId="0" applyFont="1" applyFill="1" applyBorder="1" applyAlignment="1">
      <alignment horizontal="center" vertical="center" textRotation="90"/>
    </xf>
    <xf numFmtId="0" fontId="1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textRotation="90" wrapText="1"/>
    </xf>
    <xf numFmtId="0" fontId="11" fillId="0" borderId="9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7" fontId="10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12" borderId="9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11" fillId="12" borderId="9" xfId="0" applyFont="1" applyFill="1" applyBorder="1" applyAlignment="1">
      <alignment horizontal="center" vertical="center" wrapText="1"/>
    </xf>
    <xf numFmtId="0" fontId="111" fillId="12" borderId="4" xfId="0" applyFont="1" applyFill="1" applyBorder="1" applyAlignment="1">
      <alignment horizontal="center" vertical="center" wrapText="1"/>
    </xf>
    <xf numFmtId="0" fontId="111" fillId="13" borderId="9" xfId="0" applyFont="1" applyFill="1" applyBorder="1" applyAlignment="1">
      <alignment horizontal="center" vertical="center"/>
    </xf>
    <xf numFmtId="0" fontId="111" fillId="13" borderId="4" xfId="0" applyFont="1" applyFill="1" applyBorder="1" applyAlignment="1">
      <alignment horizontal="center" vertical="center"/>
    </xf>
    <xf numFmtId="0" fontId="147" fillId="2" borderId="30" xfId="0" applyFont="1" applyFill="1" applyBorder="1" applyAlignment="1">
      <alignment horizontal="center" vertical="center" textRotation="90"/>
    </xf>
    <xf numFmtId="0" fontId="147" fillId="2" borderId="12" xfId="0" applyFont="1" applyFill="1" applyBorder="1" applyAlignment="1">
      <alignment horizontal="center" vertical="center" textRotation="90"/>
    </xf>
    <xf numFmtId="0" fontId="147" fillId="2" borderId="29" xfId="0" applyFont="1" applyFill="1" applyBorder="1" applyAlignment="1">
      <alignment horizontal="center" vertical="center" textRotation="90"/>
    </xf>
    <xf numFmtId="0" fontId="57" fillId="0" borderId="49" xfId="42" applyFont="1" applyBorder="1" applyAlignment="1">
      <alignment horizontal="center" vertical="center" wrapText="1"/>
    </xf>
    <xf numFmtId="0" fontId="57" fillId="0" borderId="46" xfId="42" applyFont="1" applyBorder="1" applyAlignment="1">
      <alignment horizontal="center" vertical="center" wrapText="1"/>
    </xf>
    <xf numFmtId="0" fontId="11" fillId="52" borderId="9" xfId="0" applyFont="1" applyFill="1" applyBorder="1" applyAlignment="1">
      <alignment horizontal="center" vertical="center"/>
    </xf>
    <xf numFmtId="0" fontId="11" fillId="52" borderId="4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10" borderId="9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wrapText="1"/>
    </xf>
    <xf numFmtId="0" fontId="147" fillId="2" borderId="21" xfId="0" applyFont="1" applyFill="1" applyBorder="1" applyAlignment="1">
      <alignment horizontal="center" vertical="center" textRotation="90"/>
    </xf>
    <xf numFmtId="0" fontId="10" fillId="0" borderId="2" xfId="0" applyFont="1" applyBorder="1" applyAlignment="1">
      <alignment horizontal="center" wrapText="1"/>
    </xf>
    <xf numFmtId="0" fontId="19" fillId="45" borderId="9" xfId="0" applyFont="1" applyFill="1" applyBorder="1" applyAlignment="1">
      <alignment horizontal="left" vertical="center"/>
    </xf>
    <xf numFmtId="0" fontId="19" fillId="45" borderId="4" xfId="0" applyFont="1" applyFill="1" applyBorder="1" applyAlignment="1">
      <alignment horizontal="left" vertical="center"/>
    </xf>
    <xf numFmtId="0" fontId="70" fillId="10" borderId="9" xfId="0" applyFont="1" applyFill="1" applyBorder="1" applyAlignment="1">
      <alignment horizontal="center" vertical="center"/>
    </xf>
    <xf numFmtId="0" fontId="70" fillId="10" borderId="4" xfId="0" applyFont="1" applyFill="1" applyBorder="1" applyAlignment="1">
      <alignment horizontal="center" vertical="center"/>
    </xf>
    <xf numFmtId="0" fontId="168" fillId="2" borderId="21" xfId="0" applyFont="1" applyFill="1" applyBorder="1" applyAlignment="1">
      <alignment horizontal="center" vertical="center" textRotation="90"/>
    </xf>
    <xf numFmtId="0" fontId="11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/>
    </xf>
    <xf numFmtId="0" fontId="114" fillId="13" borderId="3" xfId="0" applyFont="1" applyFill="1" applyBorder="1" applyAlignment="1">
      <alignment horizontal="center" vertical="center"/>
    </xf>
    <xf numFmtId="0" fontId="17" fillId="0" borderId="3" xfId="11" applyFont="1" applyBorder="1" applyAlignment="1">
      <alignment horizontal="lef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1" fontId="10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166" fontId="13" fillId="0" borderId="9" xfId="0" applyNumberFormat="1" applyFont="1" applyBorder="1" applyAlignment="1">
      <alignment horizontal="center" vertical="center"/>
    </xf>
    <xf numFmtId="166" fontId="13" fillId="0" borderId="4" xfId="0" applyNumberFormat="1" applyFont="1" applyBorder="1" applyAlignment="1">
      <alignment horizontal="center" vertical="center"/>
    </xf>
    <xf numFmtId="0" fontId="19" fillId="9" borderId="41" xfId="13" applyFont="1" applyFill="1" applyBorder="1" applyAlignment="1">
      <alignment horizontal="center" vertical="center"/>
    </xf>
    <xf numFmtId="0" fontId="19" fillId="9" borderId="18" xfId="13" applyFont="1" applyFill="1" applyBorder="1" applyAlignment="1">
      <alignment horizontal="center" vertical="center"/>
    </xf>
    <xf numFmtId="0" fontId="19" fillId="9" borderId="40" xfId="13" applyFont="1" applyFill="1" applyBorder="1" applyAlignment="1">
      <alignment horizontal="center" vertical="center"/>
    </xf>
    <xf numFmtId="0" fontId="19" fillId="9" borderId="17" xfId="13" applyFont="1" applyFill="1" applyBorder="1" applyAlignment="1">
      <alignment horizontal="center" vertical="center"/>
    </xf>
    <xf numFmtId="0" fontId="18" fillId="4" borderId="73" xfId="0" applyFont="1" applyFill="1" applyBorder="1" applyAlignment="1">
      <alignment horizontal="center"/>
    </xf>
    <xf numFmtId="0" fontId="18" fillId="4" borderId="5" xfId="0" applyFont="1" applyFill="1" applyBorder="1" applyAlignment="1">
      <alignment horizontal="center"/>
    </xf>
    <xf numFmtId="0" fontId="18" fillId="4" borderId="31" xfId="0" applyFont="1" applyFill="1" applyBorder="1" applyAlignment="1">
      <alignment horizontal="center"/>
    </xf>
    <xf numFmtId="0" fontId="18" fillId="2" borderId="30" xfId="0" applyFont="1" applyFill="1" applyBorder="1" applyAlignment="1">
      <alignment horizontal="center" vertical="center" textRotation="90"/>
    </xf>
    <xf numFmtId="0" fontId="19" fillId="2" borderId="49" xfId="0" applyFont="1" applyFill="1" applyBorder="1" applyAlignment="1">
      <alignment horizontal="center" vertical="center"/>
    </xf>
    <xf numFmtId="0" fontId="19" fillId="2" borderId="46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29" fillId="57" borderId="9" xfId="0" applyFont="1" applyFill="1" applyBorder="1" applyAlignment="1">
      <alignment horizontal="center" vertical="center"/>
    </xf>
    <xf numFmtId="0" fontId="129" fillId="57" borderId="4" xfId="0" applyFont="1" applyFill="1" applyBorder="1" applyAlignment="1">
      <alignment horizontal="center" vertical="center"/>
    </xf>
    <xf numFmtId="0" fontId="37" fillId="2" borderId="39" xfId="0" applyFont="1" applyFill="1" applyBorder="1" applyAlignment="1">
      <alignment horizontal="left" vertical="center"/>
    </xf>
    <xf numFmtId="0" fontId="37" fillId="2" borderId="32" xfId="0" applyFont="1" applyFill="1" applyBorder="1" applyAlignment="1">
      <alignment horizontal="left" vertical="center"/>
    </xf>
    <xf numFmtId="0" fontId="37" fillId="2" borderId="17" xfId="0" applyFont="1" applyFill="1" applyBorder="1" applyAlignment="1">
      <alignment horizontal="left" vertical="center"/>
    </xf>
    <xf numFmtId="0" fontId="40" fillId="0" borderId="40" xfId="0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0" fontId="17" fillId="0" borderId="40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40" fillId="0" borderId="21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0" fillId="0" borderId="6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1" fontId="18" fillId="0" borderId="0" xfId="0" applyNumberFormat="1" applyFont="1" applyAlignment="1">
      <alignment horizontal="right"/>
    </xf>
    <xf numFmtId="0" fontId="40" fillId="0" borderId="40" xfId="0" applyFont="1" applyBorder="1" applyAlignment="1">
      <alignment horizontal="center" vertical="center"/>
    </xf>
    <xf numFmtId="0" fontId="40" fillId="0" borderId="17" xfId="0" applyFont="1" applyBorder="1" applyAlignment="1">
      <alignment horizontal="center" vertical="center"/>
    </xf>
    <xf numFmtId="0" fontId="24" fillId="0" borderId="50" xfId="0" applyFont="1" applyBorder="1" applyAlignment="1">
      <alignment horizontal="left" vertical="top" wrapText="1"/>
    </xf>
    <xf numFmtId="0" fontId="24" fillId="0" borderId="54" xfId="0" applyFont="1" applyBorder="1" applyAlignment="1">
      <alignment horizontal="left" vertical="top" wrapText="1"/>
    </xf>
    <xf numFmtId="0" fontId="24" fillId="0" borderId="44" xfId="0" applyFont="1" applyBorder="1" applyAlignment="1">
      <alignment horizontal="left" vertical="top" wrapText="1"/>
    </xf>
    <xf numFmtId="0" fontId="40" fillId="0" borderId="29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10" fontId="18" fillId="0" borderId="0" xfId="29" applyNumberFormat="1" applyFont="1" applyAlignment="1">
      <alignment horizontal="right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31" fillId="0" borderId="21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40" fillId="0" borderId="21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0" fontId="31" fillId="0" borderId="21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 wrapText="1"/>
    </xf>
    <xf numFmtId="0" fontId="40" fillId="0" borderId="17" xfId="0" applyFont="1" applyBorder="1" applyAlignment="1">
      <alignment horizontal="center" vertical="center" wrapText="1"/>
    </xf>
    <xf numFmtId="0" fontId="40" fillId="0" borderId="71" xfId="0" applyFont="1" applyBorder="1" applyAlignment="1">
      <alignment horizontal="center" vertical="center"/>
    </xf>
    <xf numFmtId="0" fontId="40" fillId="0" borderId="7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/>
    </xf>
    <xf numFmtId="0" fontId="31" fillId="0" borderId="32" xfId="0" applyFont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31" fillId="0" borderId="35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4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 wrapText="1"/>
    </xf>
    <xf numFmtId="0" fontId="31" fillId="0" borderId="19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wrapText="1"/>
    </xf>
    <xf numFmtId="0" fontId="31" fillId="0" borderId="19" xfId="0" applyFont="1" applyBorder="1" applyAlignment="1">
      <alignment horizontal="center" wrapText="1"/>
    </xf>
    <xf numFmtId="0" fontId="17" fillId="0" borderId="3" xfId="0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68" fillId="0" borderId="37" xfId="0" applyNumberFormat="1" applyFont="1" applyBorder="1" applyAlignment="1">
      <alignment horizontal="right" vertical="center"/>
    </xf>
    <xf numFmtId="1" fontId="68" fillId="0" borderId="36" xfId="0" applyNumberFormat="1" applyFont="1" applyBorder="1" applyAlignment="1">
      <alignment horizontal="right" vertical="center"/>
    </xf>
    <xf numFmtId="1" fontId="68" fillId="0" borderId="45" xfId="0" applyNumberFormat="1" applyFont="1" applyBorder="1" applyAlignment="1">
      <alignment horizontal="right" vertical="center"/>
    </xf>
    <xf numFmtId="1" fontId="68" fillId="0" borderId="34" xfId="0" applyNumberFormat="1" applyFont="1" applyBorder="1" applyAlignment="1">
      <alignment horizontal="right" vertical="center"/>
    </xf>
    <xf numFmtId="1" fontId="66" fillId="0" borderId="37" xfId="0" applyNumberFormat="1" applyFont="1" applyBorder="1" applyAlignment="1">
      <alignment horizontal="left" vertical="center"/>
    </xf>
    <xf numFmtId="1" fontId="66" fillId="0" borderId="45" xfId="0" applyNumberFormat="1" applyFont="1" applyBorder="1" applyAlignment="1">
      <alignment horizontal="left" vertical="center"/>
    </xf>
    <xf numFmtId="0" fontId="12" fillId="0" borderId="35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3" fontId="46" fillId="0" borderId="19" xfId="0" applyNumberFormat="1" applyFont="1" applyBorder="1" applyAlignment="1">
      <alignment horizontal="right" vertical="center"/>
    </xf>
    <xf numFmtId="0" fontId="41" fillId="0" borderId="1" xfId="0" applyFont="1" applyBorder="1" applyAlignment="1">
      <alignment horizontal="left" vertical="center" wrapText="1"/>
    </xf>
    <xf numFmtId="171" fontId="30" fillId="0" borderId="36" xfId="0" applyNumberFormat="1" applyFont="1" applyBorder="1" applyAlignment="1">
      <alignment horizontal="center"/>
    </xf>
    <xf numFmtId="171" fontId="30" fillId="0" borderId="34" xfId="0" applyNumberFormat="1" applyFont="1" applyBorder="1" applyAlignment="1">
      <alignment horizontal="center"/>
    </xf>
    <xf numFmtId="9" fontId="66" fillId="0" borderId="37" xfId="29" applyFont="1" applyFill="1" applyBorder="1" applyAlignment="1">
      <alignment horizontal="left" vertical="center"/>
    </xf>
    <xf numFmtId="9" fontId="66" fillId="0" borderId="45" xfId="29" applyFont="1" applyFill="1" applyBorder="1" applyAlignment="1">
      <alignment horizontal="left" vertical="center"/>
    </xf>
    <xf numFmtId="0" fontId="31" fillId="0" borderId="20" xfId="0" applyFont="1" applyBorder="1" applyAlignment="1">
      <alignment horizontal="center" vertical="center" wrapText="1"/>
    </xf>
    <xf numFmtId="0" fontId="31" fillId="0" borderId="50" xfId="0" applyFont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40" fillId="0" borderId="11" xfId="0" applyFont="1" applyBorder="1" applyAlignment="1">
      <alignment horizontal="center" vertical="center"/>
    </xf>
    <xf numFmtId="0" fontId="40" fillId="0" borderId="70" xfId="0" applyFont="1" applyBorder="1" applyAlignment="1">
      <alignment horizontal="center" vertical="center"/>
    </xf>
    <xf numFmtId="0" fontId="66" fillId="0" borderId="0" xfId="0" applyFont="1" applyAlignment="1">
      <alignment horizontal="center"/>
    </xf>
    <xf numFmtId="173" fontId="32" fillId="0" borderId="23" xfId="0" applyNumberFormat="1" applyFont="1" applyBorder="1" applyAlignment="1">
      <alignment horizontal="right" vertical="center"/>
    </xf>
    <xf numFmtId="0" fontId="31" fillId="0" borderId="1" xfId="0" applyFont="1" applyBorder="1" applyAlignment="1">
      <alignment horizontal="center" vertical="center"/>
    </xf>
    <xf numFmtId="171" fontId="31" fillId="0" borderId="1" xfId="0" applyNumberFormat="1" applyFont="1" applyBorder="1" applyAlignment="1">
      <alignment horizontal="center" vertical="center"/>
    </xf>
    <xf numFmtId="173" fontId="31" fillId="0" borderId="1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/>
    </xf>
    <xf numFmtId="0" fontId="24" fillId="0" borderId="35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1" fontId="40" fillId="17" borderId="3" xfId="0" applyNumberFormat="1" applyFont="1" applyFill="1" applyBorder="1" applyAlignment="1">
      <alignment horizontal="right" vertical="center"/>
    </xf>
    <xf numFmtId="0" fontId="40" fillId="17" borderId="3" xfId="0" applyFont="1" applyFill="1" applyBorder="1" applyAlignment="1">
      <alignment horizontal="right" vertical="center"/>
    </xf>
    <xf numFmtId="0" fontId="17" fillId="0" borderId="2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/>
    </xf>
    <xf numFmtId="171" fontId="40" fillId="10" borderId="25" xfId="0" applyNumberFormat="1" applyFont="1" applyFill="1" applyBorder="1" applyAlignment="1">
      <alignment horizontal="center" vertical="center"/>
    </xf>
    <xf numFmtId="171" fontId="40" fillId="10" borderId="65" xfId="0" applyNumberFormat="1" applyFont="1" applyFill="1" applyBorder="1" applyAlignment="1">
      <alignment horizontal="center" vertical="center"/>
    </xf>
    <xf numFmtId="171" fontId="40" fillId="10" borderId="22" xfId="0" applyNumberFormat="1" applyFont="1" applyFill="1" applyBorder="1" applyAlignment="1">
      <alignment horizontal="center" vertical="center"/>
    </xf>
    <xf numFmtId="0" fontId="31" fillId="0" borderId="66" xfId="0" applyFont="1" applyBorder="1" applyAlignment="1">
      <alignment horizontal="center" vertical="center" wrapText="1"/>
    </xf>
    <xf numFmtId="0" fontId="31" fillId="0" borderId="67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center" vertical="center" wrapText="1"/>
    </xf>
    <xf numFmtId="0" fontId="31" fillId="0" borderId="49" xfId="0" applyFont="1" applyBorder="1" applyAlignment="1">
      <alignment horizontal="center" vertical="center" wrapText="1"/>
    </xf>
    <xf numFmtId="0" fontId="31" fillId="0" borderId="46" xfId="0" applyFont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3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24" fillId="0" borderId="39" xfId="0" applyFont="1" applyBorder="1" applyAlignment="1">
      <alignment horizontal="left"/>
    </xf>
    <xf numFmtId="0" fontId="24" fillId="0" borderId="17" xfId="0" applyFont="1" applyBorder="1" applyAlignment="1">
      <alignment horizontal="left"/>
    </xf>
    <xf numFmtId="0" fontId="17" fillId="0" borderId="39" xfId="0" applyFont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17" xfId="0" applyFont="1" applyBorder="1" applyAlignment="1">
      <alignment horizontal="left" vertical="center" wrapText="1"/>
    </xf>
    <xf numFmtId="1" fontId="17" fillId="0" borderId="39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shrinkToFit="1"/>
    </xf>
    <xf numFmtId="0" fontId="31" fillId="0" borderId="1" xfId="0" applyFont="1" applyBorder="1" applyAlignment="1">
      <alignment horizontal="center" vertical="center" wrapText="1"/>
    </xf>
    <xf numFmtId="0" fontId="41" fillId="0" borderId="0" xfId="27" applyFont="1" applyAlignment="1">
      <alignment horizontal="left" vertical="top" wrapText="1"/>
    </xf>
    <xf numFmtId="0" fontId="65" fillId="2" borderId="0" xfId="0" applyFont="1" applyFill="1" applyAlignment="1">
      <alignment horizontal="left" vertical="center"/>
    </xf>
    <xf numFmtId="0" fontId="66" fillId="2" borderId="23" xfId="0" applyFont="1" applyFill="1" applyBorder="1" applyAlignment="1">
      <alignment horizontal="right" vertical="center"/>
    </xf>
    <xf numFmtId="0" fontId="66" fillId="2" borderId="1" xfId="0" applyFont="1" applyFill="1" applyBorder="1" applyAlignment="1">
      <alignment horizontal="center" vertical="center"/>
    </xf>
    <xf numFmtId="0" fontId="66" fillId="0" borderId="3" xfId="20" applyFont="1" applyBorder="1" applyAlignment="1">
      <alignment horizontal="center" vertical="center"/>
    </xf>
    <xf numFmtId="0" fontId="66" fillId="0" borderId="20" xfId="20" applyFont="1" applyBorder="1" applyAlignment="1">
      <alignment horizontal="center" vertical="center"/>
    </xf>
    <xf numFmtId="0" fontId="66" fillId="0" borderId="6" xfId="0" applyFont="1" applyBorder="1" applyAlignment="1">
      <alignment horizontal="center" shrinkToFit="1"/>
    </xf>
    <xf numFmtId="0" fontId="41" fillId="0" borderId="0" xfId="0" applyFont="1" applyAlignment="1">
      <alignment horizontal="center"/>
    </xf>
    <xf numFmtId="0" fontId="109" fillId="0" borderId="1" xfId="0" applyFont="1" applyBorder="1" applyAlignment="1">
      <alignment horizontal="center" vertical="center"/>
    </xf>
    <xf numFmtId="3" fontId="109" fillId="58" borderId="1" xfId="0" applyNumberFormat="1" applyFont="1" applyFill="1" applyBorder="1" applyAlignment="1">
      <alignment horizontal="center" vertical="center"/>
    </xf>
    <xf numFmtId="3" fontId="109" fillId="52" borderId="1" xfId="0" applyNumberFormat="1" applyFont="1" applyFill="1" applyBorder="1" applyAlignment="1">
      <alignment horizontal="center" vertical="center"/>
    </xf>
    <xf numFmtId="0" fontId="108" fillId="0" borderId="6" xfId="0" applyFont="1" applyBorder="1" applyAlignment="1">
      <alignment horizontal="center" vertical="center" textRotation="90"/>
    </xf>
    <xf numFmtId="0" fontId="108" fillId="0" borderId="0" xfId="0" applyFont="1" applyAlignment="1">
      <alignment horizontal="center" vertical="center" textRotation="90"/>
    </xf>
    <xf numFmtId="0" fontId="108" fillId="0" borderId="23" xfId="0" applyFont="1" applyBorder="1" applyAlignment="1">
      <alignment horizontal="center" vertical="center" textRotation="90"/>
    </xf>
    <xf numFmtId="0" fontId="108" fillId="0" borderId="70" xfId="0" applyFont="1" applyBorder="1" applyAlignment="1">
      <alignment horizontal="center" vertical="center" textRotation="90"/>
    </xf>
    <xf numFmtId="0" fontId="108" fillId="0" borderId="7" xfId="0" applyFont="1" applyBorder="1" applyAlignment="1">
      <alignment horizontal="center" vertical="center" textRotation="90"/>
    </xf>
    <xf numFmtId="0" fontId="108" fillId="0" borderId="86" xfId="0" applyFont="1" applyBorder="1" applyAlignment="1">
      <alignment horizontal="center" vertical="center" textRotation="90"/>
    </xf>
    <xf numFmtId="0" fontId="108" fillId="0" borderId="38" xfId="0" applyFont="1" applyBorder="1" applyAlignment="1">
      <alignment horizontal="center" vertical="center" textRotation="90"/>
    </xf>
    <xf numFmtId="0" fontId="108" fillId="0" borderId="87" xfId="0" applyFont="1" applyBorder="1" applyAlignment="1">
      <alignment horizontal="center" vertical="center" textRotation="90"/>
    </xf>
    <xf numFmtId="0" fontId="110" fillId="0" borderId="70" xfId="0" applyFont="1" applyBorder="1" applyAlignment="1">
      <alignment horizontal="center" vertical="center" textRotation="90"/>
    </xf>
    <xf numFmtId="0" fontId="110" fillId="0" borderId="7" xfId="0" applyFont="1" applyBorder="1" applyAlignment="1">
      <alignment horizontal="center" vertical="center" textRotation="90"/>
    </xf>
    <xf numFmtId="0" fontId="108" fillId="0" borderId="10" xfId="0" applyFont="1" applyBorder="1" applyAlignment="1">
      <alignment horizontal="center" vertical="center" textRotation="90"/>
    </xf>
    <xf numFmtId="3" fontId="109" fillId="52" borderId="46" xfId="0" applyNumberFormat="1" applyFont="1" applyFill="1" applyBorder="1" applyAlignment="1">
      <alignment horizontal="center" vertical="center"/>
    </xf>
    <xf numFmtId="0" fontId="109" fillId="0" borderId="46" xfId="0" applyFont="1" applyBorder="1" applyAlignment="1">
      <alignment horizontal="center" vertical="center"/>
    </xf>
    <xf numFmtId="3" fontId="109" fillId="58" borderId="46" xfId="0" applyNumberFormat="1" applyFont="1" applyFill="1" applyBorder="1" applyAlignment="1">
      <alignment horizontal="center" vertical="center"/>
    </xf>
    <xf numFmtId="174" fontId="10" fillId="0" borderId="1" xfId="0" applyNumberFormat="1" applyFont="1" applyBorder="1" applyAlignment="1">
      <alignment horizontal="center"/>
    </xf>
    <xf numFmtId="0" fontId="108" fillId="0" borderId="4" xfId="0" applyFont="1" applyBorder="1" applyAlignment="1">
      <alignment horizontal="center" vertical="center" textRotation="90"/>
    </xf>
    <xf numFmtId="0" fontId="108" fillId="0" borderId="3" xfId="0" applyFont="1" applyBorder="1" applyAlignment="1">
      <alignment horizontal="center" vertical="center" textRotation="90"/>
    </xf>
    <xf numFmtId="0" fontId="108" fillId="0" borderId="9" xfId="0" applyFont="1" applyBorder="1" applyAlignment="1">
      <alignment horizontal="center" vertical="center" textRotation="90"/>
    </xf>
    <xf numFmtId="0" fontId="80" fillId="0" borderId="70" xfId="0" applyFont="1" applyBorder="1" applyAlignment="1">
      <alignment horizontal="center" vertical="center" textRotation="90"/>
    </xf>
    <xf numFmtId="0" fontId="80" fillId="0" borderId="7" xfId="0" applyFont="1" applyBorder="1" applyAlignment="1">
      <alignment horizontal="center" vertical="center" textRotation="90"/>
    </xf>
    <xf numFmtId="0" fontId="80" fillId="0" borderId="10" xfId="0" applyFont="1" applyBorder="1" applyAlignment="1">
      <alignment horizontal="center" vertical="center" textRotation="90"/>
    </xf>
    <xf numFmtId="9" fontId="0" fillId="0" borderId="2" xfId="29" applyFont="1" applyBorder="1" applyAlignment="1">
      <alignment horizontal="center" vertical="center"/>
    </xf>
    <xf numFmtId="9" fontId="0" fillId="0" borderId="2" xfId="29" applyFont="1" applyBorder="1" applyAlignment="1">
      <alignment horizontal="left" vertical="center" indent="4"/>
    </xf>
    <xf numFmtId="9" fontId="10" fillId="0" borderId="2" xfId="29" applyFont="1" applyBorder="1" applyAlignment="1">
      <alignment horizontal="center" vertical="center"/>
    </xf>
    <xf numFmtId="0" fontId="41" fillId="0" borderId="41" xfId="0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80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32" fillId="0" borderId="15" xfId="0" applyFont="1" applyBorder="1" applyAlignment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2" fillId="0" borderId="53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41" fillId="0" borderId="51" xfId="0" applyFont="1" applyBorder="1" applyAlignment="1">
      <alignment horizontal="left"/>
    </xf>
    <xf numFmtId="0" fontId="41" fillId="0" borderId="52" xfId="0" applyFont="1" applyBorder="1" applyAlignment="1">
      <alignment horizontal="left"/>
    </xf>
    <xf numFmtId="0" fontId="41" fillId="0" borderId="55" xfId="0" applyFont="1" applyBorder="1" applyAlignment="1">
      <alignment horizontal="left"/>
    </xf>
    <xf numFmtId="0" fontId="41" fillId="0" borderId="41" xfId="0" applyFont="1" applyBorder="1" applyAlignment="1">
      <alignment horizontal="center" vertical="center"/>
    </xf>
    <xf numFmtId="0" fontId="41" fillId="0" borderId="18" xfId="0" applyFont="1" applyBorder="1" applyAlignment="1">
      <alignment horizontal="center" vertical="center"/>
    </xf>
    <xf numFmtId="174" fontId="10" fillId="0" borderId="50" xfId="0" applyNumberFormat="1" applyFont="1" applyBorder="1" applyAlignment="1">
      <alignment horizontal="center"/>
    </xf>
    <xf numFmtId="174" fontId="10" fillId="0" borderId="54" xfId="0" applyNumberFormat="1" applyFont="1" applyBorder="1" applyAlignment="1">
      <alignment horizontal="center"/>
    </xf>
    <xf numFmtId="174" fontId="10" fillId="0" borderId="44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44" borderId="46" xfId="0" applyFont="1" applyFill="1" applyBorder="1" applyAlignment="1">
      <alignment horizontal="center"/>
    </xf>
    <xf numFmtId="0" fontId="10" fillId="53" borderId="50" xfId="0" applyFont="1" applyFill="1" applyBorder="1" applyAlignment="1">
      <alignment horizontal="center"/>
    </xf>
    <xf numFmtId="0" fontId="10" fillId="53" borderId="54" xfId="0" applyFont="1" applyFill="1" applyBorder="1" applyAlignment="1">
      <alignment horizontal="center"/>
    </xf>
    <xf numFmtId="0" fontId="10" fillId="53" borderId="44" xfId="0" applyFont="1" applyFill="1" applyBorder="1" applyAlignment="1">
      <alignment horizontal="center"/>
    </xf>
    <xf numFmtId="0" fontId="117" fillId="55" borderId="50" xfId="0" applyFont="1" applyFill="1" applyBorder="1" applyAlignment="1">
      <alignment horizontal="center"/>
    </xf>
    <xf numFmtId="0" fontId="117" fillId="55" borderId="54" xfId="0" applyFont="1" applyFill="1" applyBorder="1" applyAlignment="1">
      <alignment horizontal="center"/>
    </xf>
    <xf numFmtId="0" fontId="117" fillId="55" borderId="44" xfId="0" applyFont="1" applyFill="1" applyBorder="1" applyAlignment="1">
      <alignment horizontal="center"/>
    </xf>
    <xf numFmtId="0" fontId="10" fillId="54" borderId="50" xfId="0" applyFont="1" applyFill="1" applyBorder="1" applyAlignment="1">
      <alignment horizontal="center"/>
    </xf>
    <xf numFmtId="0" fontId="10" fillId="54" borderId="54" xfId="0" applyFont="1" applyFill="1" applyBorder="1" applyAlignment="1">
      <alignment horizontal="center"/>
    </xf>
    <xf numFmtId="0" fontId="10" fillId="54" borderId="44" xfId="0" applyFont="1" applyFill="1" applyBorder="1" applyAlignment="1">
      <alignment horizontal="center"/>
    </xf>
    <xf numFmtId="0" fontId="10" fillId="0" borderId="50" xfId="0" applyFont="1" applyBorder="1" applyAlignment="1">
      <alignment horizontal="center"/>
    </xf>
    <xf numFmtId="0" fontId="10" fillId="0" borderId="54" xfId="0" applyFont="1" applyBorder="1" applyAlignment="1">
      <alignment horizontal="center"/>
    </xf>
    <xf numFmtId="0" fontId="10" fillId="0" borderId="44" xfId="0" applyFont="1" applyBorder="1" applyAlignment="1">
      <alignment horizontal="center"/>
    </xf>
  </cellXfs>
  <cellStyles count="603">
    <cellStyle name="20% - Accent1" xfId="139" builtinId="30" customBuiltin="1"/>
    <cellStyle name="20% - Accent1 2" xfId="56" xr:uid="{00000000-0005-0000-0000-000001000000}"/>
    <cellStyle name="20% - Accent1 2 2" xfId="214" xr:uid="{00000000-0005-0000-0000-000002000000}"/>
    <cellStyle name="20% - Accent1 2 3" xfId="587" xr:uid="{00000000-0005-0000-0000-000003000000}"/>
    <cellStyle name="20% - Accent1 3" xfId="267" xr:uid="{00000000-0005-0000-0000-000004000000}"/>
    <cellStyle name="20% - Accent2" xfId="143" builtinId="34" customBuiltin="1"/>
    <cellStyle name="20% - Accent2 2" xfId="57" xr:uid="{00000000-0005-0000-0000-000006000000}"/>
    <cellStyle name="20% - Accent2 2 2" xfId="218" xr:uid="{00000000-0005-0000-0000-000007000000}"/>
    <cellStyle name="20% - Accent2 2 3" xfId="588" xr:uid="{00000000-0005-0000-0000-000008000000}"/>
    <cellStyle name="20% - Accent2 3" xfId="270" xr:uid="{00000000-0005-0000-0000-000009000000}"/>
    <cellStyle name="20% - Accent3" xfId="147" builtinId="38" customBuiltin="1"/>
    <cellStyle name="20% - Accent3 2" xfId="58" xr:uid="{00000000-0005-0000-0000-00000B000000}"/>
    <cellStyle name="20% - Accent3 2 2" xfId="222" xr:uid="{00000000-0005-0000-0000-00000C000000}"/>
    <cellStyle name="20% - Accent3 2 3" xfId="589" xr:uid="{00000000-0005-0000-0000-00000D000000}"/>
    <cellStyle name="20% - Accent3 3" xfId="273" xr:uid="{00000000-0005-0000-0000-00000E000000}"/>
    <cellStyle name="20% - Accent4" xfId="151" builtinId="42" customBuiltin="1"/>
    <cellStyle name="20% - Accent4 2" xfId="59" xr:uid="{00000000-0005-0000-0000-000010000000}"/>
    <cellStyle name="20% - Accent4 2 2" xfId="226" xr:uid="{00000000-0005-0000-0000-000011000000}"/>
    <cellStyle name="20% - Accent4 2 3" xfId="590" xr:uid="{00000000-0005-0000-0000-000012000000}"/>
    <cellStyle name="20% - Accent4 3" xfId="276" xr:uid="{00000000-0005-0000-0000-000013000000}"/>
    <cellStyle name="20% - Accent5" xfId="155" builtinId="46" customBuiltin="1"/>
    <cellStyle name="20% - Accent5 2" xfId="60" xr:uid="{00000000-0005-0000-0000-000015000000}"/>
    <cellStyle name="20% - Accent5 2 2" xfId="230" xr:uid="{00000000-0005-0000-0000-000016000000}"/>
    <cellStyle name="20% - Accent5 3" xfId="279" xr:uid="{00000000-0005-0000-0000-000017000000}"/>
    <cellStyle name="20% - Accent5 4" xfId="583" xr:uid="{00000000-0005-0000-0000-000018000000}"/>
    <cellStyle name="20% - Accent6" xfId="159" builtinId="50" customBuiltin="1"/>
    <cellStyle name="20% - Accent6 2" xfId="61" xr:uid="{00000000-0005-0000-0000-00001A000000}"/>
    <cellStyle name="20% - Accent6 2 2" xfId="234" xr:uid="{00000000-0005-0000-0000-00001B000000}"/>
    <cellStyle name="20% - Accent6 3" xfId="282" xr:uid="{00000000-0005-0000-0000-00001C000000}"/>
    <cellStyle name="20% - Accent6 4" xfId="585" xr:uid="{00000000-0005-0000-0000-00001D000000}"/>
    <cellStyle name="40% - Accent1" xfId="140" builtinId="31" customBuiltin="1"/>
    <cellStyle name="40% - Accent1 2" xfId="62" xr:uid="{00000000-0005-0000-0000-00001F000000}"/>
    <cellStyle name="40% - Accent1 2 2" xfId="215" xr:uid="{00000000-0005-0000-0000-000020000000}"/>
    <cellStyle name="40% - Accent1 3" xfId="268" xr:uid="{00000000-0005-0000-0000-000021000000}"/>
    <cellStyle name="40% - Accent1 4" xfId="580" xr:uid="{00000000-0005-0000-0000-000022000000}"/>
    <cellStyle name="40% - Accent2" xfId="144" builtinId="35" customBuiltin="1"/>
    <cellStyle name="40% - Accent2 2" xfId="63" xr:uid="{00000000-0005-0000-0000-000024000000}"/>
    <cellStyle name="40% - Accent2 2 2" xfId="219" xr:uid="{00000000-0005-0000-0000-000025000000}"/>
    <cellStyle name="40% - Accent2 3" xfId="271" xr:uid="{00000000-0005-0000-0000-000026000000}"/>
    <cellStyle name="40% - Accent2 4" xfId="581" xr:uid="{00000000-0005-0000-0000-000027000000}"/>
    <cellStyle name="40% - Accent3" xfId="148" builtinId="39" customBuiltin="1"/>
    <cellStyle name="40% - Accent3 2" xfId="64" xr:uid="{00000000-0005-0000-0000-000029000000}"/>
    <cellStyle name="40% - Accent3 2 2" xfId="223" xr:uid="{00000000-0005-0000-0000-00002A000000}"/>
    <cellStyle name="40% - Accent3 2 3" xfId="591" xr:uid="{00000000-0005-0000-0000-00002B000000}"/>
    <cellStyle name="40% - Accent3 3" xfId="274" xr:uid="{00000000-0005-0000-0000-00002C000000}"/>
    <cellStyle name="40% - Accent4" xfId="152" builtinId="43" customBuiltin="1"/>
    <cellStyle name="40% - Accent4 2" xfId="65" xr:uid="{00000000-0005-0000-0000-00002E000000}"/>
    <cellStyle name="40% - Accent4 2 2" xfId="227" xr:uid="{00000000-0005-0000-0000-00002F000000}"/>
    <cellStyle name="40% - Accent4 3" xfId="277" xr:uid="{00000000-0005-0000-0000-000030000000}"/>
    <cellStyle name="40% - Accent4 4" xfId="582" xr:uid="{00000000-0005-0000-0000-000031000000}"/>
    <cellStyle name="40% - Accent5" xfId="156" builtinId="47" customBuiltin="1"/>
    <cellStyle name="40% - Accent5 2" xfId="66" xr:uid="{00000000-0005-0000-0000-000033000000}"/>
    <cellStyle name="40% - Accent5 2 2" xfId="231" xr:uid="{00000000-0005-0000-0000-000034000000}"/>
    <cellStyle name="40% - Accent5 3" xfId="280" xr:uid="{00000000-0005-0000-0000-000035000000}"/>
    <cellStyle name="40% - Accent5 4" xfId="584" xr:uid="{00000000-0005-0000-0000-000036000000}"/>
    <cellStyle name="40% - Accent6" xfId="160" builtinId="51" customBuiltin="1"/>
    <cellStyle name="40% - Accent6 2" xfId="67" xr:uid="{00000000-0005-0000-0000-000038000000}"/>
    <cellStyle name="40% - Accent6 2 2" xfId="235" xr:uid="{00000000-0005-0000-0000-000039000000}"/>
    <cellStyle name="40% - Accent6 3" xfId="283" xr:uid="{00000000-0005-0000-0000-00003A000000}"/>
    <cellStyle name="40% - Accent6 4" xfId="586" xr:uid="{00000000-0005-0000-0000-00003B000000}"/>
    <cellStyle name="60% - Accent1" xfId="141" builtinId="32" customBuiltin="1"/>
    <cellStyle name="60% - Accent1 2" xfId="68" xr:uid="{00000000-0005-0000-0000-00003D000000}"/>
    <cellStyle name="60% - Accent1 2 2" xfId="216" xr:uid="{00000000-0005-0000-0000-00003E000000}"/>
    <cellStyle name="60% - Accent1 2 3" xfId="592" xr:uid="{00000000-0005-0000-0000-00003F000000}"/>
    <cellStyle name="60% - Accent1 3" xfId="269" xr:uid="{00000000-0005-0000-0000-000040000000}"/>
    <cellStyle name="60% - Accent2" xfId="145" builtinId="36" customBuiltin="1"/>
    <cellStyle name="60% - Accent2 2" xfId="69" xr:uid="{00000000-0005-0000-0000-000042000000}"/>
    <cellStyle name="60% - Accent2 2 2" xfId="220" xr:uid="{00000000-0005-0000-0000-000043000000}"/>
    <cellStyle name="60% - Accent2 2 3" xfId="593" xr:uid="{00000000-0005-0000-0000-000044000000}"/>
    <cellStyle name="60% - Accent2 3" xfId="272" xr:uid="{00000000-0005-0000-0000-000045000000}"/>
    <cellStyle name="60% - Accent3" xfId="149" builtinId="40" customBuiltin="1"/>
    <cellStyle name="60% - Accent3 2" xfId="70" xr:uid="{00000000-0005-0000-0000-000047000000}"/>
    <cellStyle name="60% - Accent3 2 2" xfId="224" xr:uid="{00000000-0005-0000-0000-000048000000}"/>
    <cellStyle name="60% - Accent3 2 3" xfId="594" xr:uid="{00000000-0005-0000-0000-000049000000}"/>
    <cellStyle name="60% - Accent3 3" xfId="275" xr:uid="{00000000-0005-0000-0000-00004A000000}"/>
    <cellStyle name="60% - Accent4" xfId="153" builtinId="44" customBuiltin="1"/>
    <cellStyle name="60% - Accent4 2" xfId="71" xr:uid="{00000000-0005-0000-0000-00004C000000}"/>
    <cellStyle name="60% - Accent4 2 2" xfId="228" xr:uid="{00000000-0005-0000-0000-00004D000000}"/>
    <cellStyle name="60% - Accent4 2 3" xfId="595" xr:uid="{00000000-0005-0000-0000-00004E000000}"/>
    <cellStyle name="60% - Accent4 3" xfId="278" xr:uid="{00000000-0005-0000-0000-00004F000000}"/>
    <cellStyle name="60% - Accent5" xfId="157" builtinId="48" customBuiltin="1"/>
    <cellStyle name="60% - Accent5 2" xfId="72" xr:uid="{00000000-0005-0000-0000-000051000000}"/>
    <cellStyle name="60% - Accent5 2 2" xfId="232" xr:uid="{00000000-0005-0000-0000-000052000000}"/>
    <cellStyle name="60% - Accent5 2 3" xfId="596" xr:uid="{00000000-0005-0000-0000-000053000000}"/>
    <cellStyle name="60% - Accent5 3" xfId="281" xr:uid="{00000000-0005-0000-0000-000054000000}"/>
    <cellStyle name="60% - Accent6" xfId="161" builtinId="52" customBuiltin="1"/>
    <cellStyle name="60% - Accent6 2" xfId="73" xr:uid="{00000000-0005-0000-0000-000056000000}"/>
    <cellStyle name="60% - Accent6 2 2" xfId="236" xr:uid="{00000000-0005-0000-0000-000057000000}"/>
    <cellStyle name="60% - Accent6 2 3" xfId="597" xr:uid="{00000000-0005-0000-0000-000058000000}"/>
    <cellStyle name="60% - Accent6 3" xfId="284" xr:uid="{00000000-0005-0000-0000-000059000000}"/>
    <cellStyle name="Accent1" xfId="138" builtinId="29" customBuiltin="1"/>
    <cellStyle name="Accent1 2" xfId="74" xr:uid="{00000000-0005-0000-0000-00005B000000}"/>
    <cellStyle name="Accent1 2 2" xfId="213" xr:uid="{00000000-0005-0000-0000-00005C000000}"/>
    <cellStyle name="Accent2" xfId="142" builtinId="33" customBuiltin="1"/>
    <cellStyle name="Accent2 2" xfId="75" xr:uid="{00000000-0005-0000-0000-00005E000000}"/>
    <cellStyle name="Accent2 2 2" xfId="217" xr:uid="{00000000-0005-0000-0000-00005F000000}"/>
    <cellStyle name="Accent3" xfId="146" builtinId="37" customBuiltin="1"/>
    <cellStyle name="Accent3 2" xfId="76" xr:uid="{00000000-0005-0000-0000-000061000000}"/>
    <cellStyle name="Accent3 2 2" xfId="221" xr:uid="{00000000-0005-0000-0000-000062000000}"/>
    <cellStyle name="Accent4" xfId="150" builtinId="41" customBuiltin="1"/>
    <cellStyle name="Accent4 2" xfId="77" xr:uid="{00000000-0005-0000-0000-000064000000}"/>
    <cellStyle name="Accent4 2 2" xfId="225" xr:uid="{00000000-0005-0000-0000-000065000000}"/>
    <cellStyle name="Accent5" xfId="154" builtinId="45" customBuiltin="1"/>
    <cellStyle name="Accent5 2" xfId="78" xr:uid="{00000000-0005-0000-0000-000067000000}"/>
    <cellStyle name="Accent5 2 2" xfId="229" xr:uid="{00000000-0005-0000-0000-000068000000}"/>
    <cellStyle name="Accent6" xfId="158" builtinId="49" customBuiltin="1"/>
    <cellStyle name="Accent6 2" xfId="79" xr:uid="{00000000-0005-0000-0000-00006A000000}"/>
    <cellStyle name="Accent6 2 2" xfId="233" xr:uid="{00000000-0005-0000-0000-00006B000000}"/>
    <cellStyle name="Bad" xfId="128" builtinId="27" customBuiltin="1"/>
    <cellStyle name="Bad 2" xfId="80" xr:uid="{00000000-0005-0000-0000-00006D000000}"/>
    <cellStyle name="Bad 2 2" xfId="208" xr:uid="{00000000-0005-0000-0000-00006E000000}"/>
    <cellStyle name="Calculation" xfId="132" builtinId="22" customBuiltin="1"/>
    <cellStyle name="Calculation 2" xfId="81" xr:uid="{00000000-0005-0000-0000-000070000000}"/>
    <cellStyle name="Check Cell" xfId="134" builtinId="23" customBuiltin="1"/>
    <cellStyle name="Check Cell 2" xfId="82" xr:uid="{00000000-0005-0000-0000-000072000000}"/>
    <cellStyle name="Comma" xfId="1" builtinId="3"/>
    <cellStyle name="Comma 10" xfId="578" xr:uid="{00000000-0005-0000-0000-000074000000}"/>
    <cellStyle name="Comma 11" xfId="579" xr:uid="{00000000-0005-0000-0000-000075000000}"/>
    <cellStyle name="Comma 2" xfId="2" xr:uid="{00000000-0005-0000-0000-000076000000}"/>
    <cellStyle name="Comma 2 10" xfId="298" xr:uid="{00000000-0005-0000-0000-000077000000}"/>
    <cellStyle name="Comma 2 11" xfId="299" xr:uid="{00000000-0005-0000-0000-000078000000}"/>
    <cellStyle name="Comma 2 12" xfId="300" xr:uid="{00000000-0005-0000-0000-000079000000}"/>
    <cellStyle name="Comma 2 13" xfId="301" xr:uid="{00000000-0005-0000-0000-00007A000000}"/>
    <cellStyle name="Comma 2 14" xfId="302" xr:uid="{00000000-0005-0000-0000-00007B000000}"/>
    <cellStyle name="Comma 2 15" xfId="303" xr:uid="{00000000-0005-0000-0000-00007C000000}"/>
    <cellStyle name="Comma 2 16" xfId="304" xr:uid="{00000000-0005-0000-0000-00007D000000}"/>
    <cellStyle name="Comma 2 17" xfId="305" xr:uid="{00000000-0005-0000-0000-00007E000000}"/>
    <cellStyle name="Comma 2 18" xfId="306" xr:uid="{00000000-0005-0000-0000-00007F000000}"/>
    <cellStyle name="Comma 2 19" xfId="307" xr:uid="{00000000-0005-0000-0000-000080000000}"/>
    <cellStyle name="Comma 2 2" xfId="48" xr:uid="{00000000-0005-0000-0000-000081000000}"/>
    <cellStyle name="Comma 2 2 10" xfId="308" xr:uid="{00000000-0005-0000-0000-000082000000}"/>
    <cellStyle name="Comma 2 2 11" xfId="309" xr:uid="{00000000-0005-0000-0000-000083000000}"/>
    <cellStyle name="Comma 2 2 12" xfId="310" xr:uid="{00000000-0005-0000-0000-000084000000}"/>
    <cellStyle name="Comma 2 2 13" xfId="311" xr:uid="{00000000-0005-0000-0000-000085000000}"/>
    <cellStyle name="Comma 2 2 14" xfId="312" xr:uid="{00000000-0005-0000-0000-000086000000}"/>
    <cellStyle name="Comma 2 2 15" xfId="313" xr:uid="{00000000-0005-0000-0000-000087000000}"/>
    <cellStyle name="Comma 2 2 16" xfId="314" xr:uid="{00000000-0005-0000-0000-000088000000}"/>
    <cellStyle name="Comma 2 2 17" xfId="315" xr:uid="{00000000-0005-0000-0000-000089000000}"/>
    <cellStyle name="Comma 2 2 18" xfId="316" xr:uid="{00000000-0005-0000-0000-00008A000000}"/>
    <cellStyle name="Comma 2 2 19" xfId="317" xr:uid="{00000000-0005-0000-0000-00008B000000}"/>
    <cellStyle name="Comma 2 2 2" xfId="318" xr:uid="{00000000-0005-0000-0000-00008C000000}"/>
    <cellStyle name="Comma 2 2 20" xfId="319" xr:uid="{00000000-0005-0000-0000-00008D000000}"/>
    <cellStyle name="Comma 2 2 21" xfId="320" xr:uid="{00000000-0005-0000-0000-00008E000000}"/>
    <cellStyle name="Comma 2 2 22" xfId="321" xr:uid="{00000000-0005-0000-0000-00008F000000}"/>
    <cellStyle name="Comma 2 2 23" xfId="322" xr:uid="{00000000-0005-0000-0000-000090000000}"/>
    <cellStyle name="Comma 2 2 24" xfId="323" xr:uid="{00000000-0005-0000-0000-000091000000}"/>
    <cellStyle name="Comma 2 2 25" xfId="324" xr:uid="{00000000-0005-0000-0000-000092000000}"/>
    <cellStyle name="Comma 2 2 26" xfId="325" xr:uid="{00000000-0005-0000-0000-000093000000}"/>
    <cellStyle name="Comma 2 2 27" xfId="326" xr:uid="{00000000-0005-0000-0000-000094000000}"/>
    <cellStyle name="Comma 2 2 28" xfId="327" xr:uid="{00000000-0005-0000-0000-000095000000}"/>
    <cellStyle name="Comma 2 2 29" xfId="328" xr:uid="{00000000-0005-0000-0000-000096000000}"/>
    <cellStyle name="Comma 2 2 3" xfId="329" xr:uid="{00000000-0005-0000-0000-000097000000}"/>
    <cellStyle name="Comma 2 2 30" xfId="330" xr:uid="{00000000-0005-0000-0000-000098000000}"/>
    <cellStyle name="Comma 2 2 31" xfId="331" xr:uid="{00000000-0005-0000-0000-000099000000}"/>
    <cellStyle name="Comma 2 2 32" xfId="332" xr:uid="{00000000-0005-0000-0000-00009A000000}"/>
    <cellStyle name="Comma 2 2 33" xfId="333" xr:uid="{00000000-0005-0000-0000-00009B000000}"/>
    <cellStyle name="Comma 2 2 34" xfId="334" xr:uid="{00000000-0005-0000-0000-00009C000000}"/>
    <cellStyle name="Comma 2 2 35" xfId="335" xr:uid="{00000000-0005-0000-0000-00009D000000}"/>
    <cellStyle name="Comma 2 2 36" xfId="336" xr:uid="{00000000-0005-0000-0000-00009E000000}"/>
    <cellStyle name="Comma 2 2 37" xfId="285" xr:uid="{00000000-0005-0000-0000-00009F000000}"/>
    <cellStyle name="Comma 2 2 4" xfId="337" xr:uid="{00000000-0005-0000-0000-0000A0000000}"/>
    <cellStyle name="Comma 2 2 5" xfId="338" xr:uid="{00000000-0005-0000-0000-0000A1000000}"/>
    <cellStyle name="Comma 2 2 6" xfId="339" xr:uid="{00000000-0005-0000-0000-0000A2000000}"/>
    <cellStyle name="Comma 2 2 7" xfId="340" xr:uid="{00000000-0005-0000-0000-0000A3000000}"/>
    <cellStyle name="Comma 2 2 8" xfId="341" xr:uid="{00000000-0005-0000-0000-0000A4000000}"/>
    <cellStyle name="Comma 2 2 9" xfId="342" xr:uid="{00000000-0005-0000-0000-0000A5000000}"/>
    <cellStyle name="Comma 2 20" xfId="343" xr:uid="{00000000-0005-0000-0000-0000A6000000}"/>
    <cellStyle name="Comma 2 21" xfId="344" xr:uid="{00000000-0005-0000-0000-0000A7000000}"/>
    <cellStyle name="Comma 2 22" xfId="345" xr:uid="{00000000-0005-0000-0000-0000A8000000}"/>
    <cellStyle name="Comma 2 23" xfId="346" xr:uid="{00000000-0005-0000-0000-0000A9000000}"/>
    <cellStyle name="Comma 2 24" xfId="347" xr:uid="{00000000-0005-0000-0000-0000AA000000}"/>
    <cellStyle name="Comma 2 25" xfId="348" xr:uid="{00000000-0005-0000-0000-0000AB000000}"/>
    <cellStyle name="Comma 2 26" xfId="349" xr:uid="{00000000-0005-0000-0000-0000AC000000}"/>
    <cellStyle name="Comma 2 27" xfId="350" xr:uid="{00000000-0005-0000-0000-0000AD000000}"/>
    <cellStyle name="Comma 2 28" xfId="351" xr:uid="{00000000-0005-0000-0000-0000AE000000}"/>
    <cellStyle name="Comma 2 29" xfId="352" xr:uid="{00000000-0005-0000-0000-0000AF000000}"/>
    <cellStyle name="Comma 2 3" xfId="102" xr:uid="{00000000-0005-0000-0000-0000B0000000}"/>
    <cellStyle name="Comma 2 3 10" xfId="353" xr:uid="{00000000-0005-0000-0000-0000B1000000}"/>
    <cellStyle name="Comma 2 3 11" xfId="354" xr:uid="{00000000-0005-0000-0000-0000B2000000}"/>
    <cellStyle name="Comma 2 3 12" xfId="355" xr:uid="{00000000-0005-0000-0000-0000B3000000}"/>
    <cellStyle name="Comma 2 3 13" xfId="356" xr:uid="{00000000-0005-0000-0000-0000B4000000}"/>
    <cellStyle name="Comma 2 3 14" xfId="357" xr:uid="{00000000-0005-0000-0000-0000B5000000}"/>
    <cellStyle name="Comma 2 3 15" xfId="358" xr:uid="{00000000-0005-0000-0000-0000B6000000}"/>
    <cellStyle name="Comma 2 3 16" xfId="359" xr:uid="{00000000-0005-0000-0000-0000B7000000}"/>
    <cellStyle name="Comma 2 3 17" xfId="360" xr:uid="{00000000-0005-0000-0000-0000B8000000}"/>
    <cellStyle name="Comma 2 3 18" xfId="361" xr:uid="{00000000-0005-0000-0000-0000B9000000}"/>
    <cellStyle name="Comma 2 3 19" xfId="362" xr:uid="{00000000-0005-0000-0000-0000BA000000}"/>
    <cellStyle name="Comma 2 3 2" xfId="363" xr:uid="{00000000-0005-0000-0000-0000BB000000}"/>
    <cellStyle name="Comma 2 3 20" xfId="364" xr:uid="{00000000-0005-0000-0000-0000BC000000}"/>
    <cellStyle name="Comma 2 3 21" xfId="365" xr:uid="{00000000-0005-0000-0000-0000BD000000}"/>
    <cellStyle name="Comma 2 3 22" xfId="366" xr:uid="{00000000-0005-0000-0000-0000BE000000}"/>
    <cellStyle name="Comma 2 3 23" xfId="367" xr:uid="{00000000-0005-0000-0000-0000BF000000}"/>
    <cellStyle name="Comma 2 3 24" xfId="368" xr:uid="{00000000-0005-0000-0000-0000C0000000}"/>
    <cellStyle name="Comma 2 3 25" xfId="369" xr:uid="{00000000-0005-0000-0000-0000C1000000}"/>
    <cellStyle name="Comma 2 3 26" xfId="370" xr:uid="{00000000-0005-0000-0000-0000C2000000}"/>
    <cellStyle name="Comma 2 3 27" xfId="371" xr:uid="{00000000-0005-0000-0000-0000C3000000}"/>
    <cellStyle name="Comma 2 3 28" xfId="372" xr:uid="{00000000-0005-0000-0000-0000C4000000}"/>
    <cellStyle name="Comma 2 3 29" xfId="373" xr:uid="{00000000-0005-0000-0000-0000C5000000}"/>
    <cellStyle name="Comma 2 3 3" xfId="374" xr:uid="{00000000-0005-0000-0000-0000C6000000}"/>
    <cellStyle name="Comma 2 3 30" xfId="375" xr:uid="{00000000-0005-0000-0000-0000C7000000}"/>
    <cellStyle name="Comma 2 3 31" xfId="376" xr:uid="{00000000-0005-0000-0000-0000C8000000}"/>
    <cellStyle name="Comma 2 3 32" xfId="377" xr:uid="{00000000-0005-0000-0000-0000C9000000}"/>
    <cellStyle name="Comma 2 3 33" xfId="378" xr:uid="{00000000-0005-0000-0000-0000CA000000}"/>
    <cellStyle name="Comma 2 3 34" xfId="379" xr:uid="{00000000-0005-0000-0000-0000CB000000}"/>
    <cellStyle name="Comma 2 3 35" xfId="380" xr:uid="{00000000-0005-0000-0000-0000CC000000}"/>
    <cellStyle name="Comma 2 3 36" xfId="381" xr:uid="{00000000-0005-0000-0000-0000CD000000}"/>
    <cellStyle name="Comma 2 3 4" xfId="382" xr:uid="{00000000-0005-0000-0000-0000CE000000}"/>
    <cellStyle name="Comma 2 3 5" xfId="383" xr:uid="{00000000-0005-0000-0000-0000CF000000}"/>
    <cellStyle name="Comma 2 3 6" xfId="384" xr:uid="{00000000-0005-0000-0000-0000D0000000}"/>
    <cellStyle name="Comma 2 3 7" xfId="385" xr:uid="{00000000-0005-0000-0000-0000D1000000}"/>
    <cellStyle name="Comma 2 3 8" xfId="386" xr:uid="{00000000-0005-0000-0000-0000D2000000}"/>
    <cellStyle name="Comma 2 3 9" xfId="387" xr:uid="{00000000-0005-0000-0000-0000D3000000}"/>
    <cellStyle name="Comma 2 30" xfId="388" xr:uid="{00000000-0005-0000-0000-0000D4000000}"/>
    <cellStyle name="Comma 2 31" xfId="389" xr:uid="{00000000-0005-0000-0000-0000D5000000}"/>
    <cellStyle name="Comma 2 32" xfId="390" xr:uid="{00000000-0005-0000-0000-0000D6000000}"/>
    <cellStyle name="Comma 2 33" xfId="391" xr:uid="{00000000-0005-0000-0000-0000D7000000}"/>
    <cellStyle name="Comma 2 34" xfId="392" xr:uid="{00000000-0005-0000-0000-0000D8000000}"/>
    <cellStyle name="Comma 2 35" xfId="393" xr:uid="{00000000-0005-0000-0000-0000D9000000}"/>
    <cellStyle name="Comma 2 36" xfId="394" xr:uid="{00000000-0005-0000-0000-0000DA000000}"/>
    <cellStyle name="Comma 2 37" xfId="395" xr:uid="{00000000-0005-0000-0000-0000DB000000}"/>
    <cellStyle name="Comma 2 38" xfId="396" xr:uid="{00000000-0005-0000-0000-0000DC000000}"/>
    <cellStyle name="Comma 2 39" xfId="397" xr:uid="{00000000-0005-0000-0000-0000DD000000}"/>
    <cellStyle name="Comma 2 4" xfId="103" xr:uid="{00000000-0005-0000-0000-0000DE000000}"/>
    <cellStyle name="Comma 2 4 10" xfId="399" xr:uid="{00000000-0005-0000-0000-0000DF000000}"/>
    <cellStyle name="Comma 2 4 11" xfId="400" xr:uid="{00000000-0005-0000-0000-0000E0000000}"/>
    <cellStyle name="Comma 2 4 12" xfId="401" xr:uid="{00000000-0005-0000-0000-0000E1000000}"/>
    <cellStyle name="Comma 2 4 13" xfId="402" xr:uid="{00000000-0005-0000-0000-0000E2000000}"/>
    <cellStyle name="Comma 2 4 14" xfId="403" xr:uid="{00000000-0005-0000-0000-0000E3000000}"/>
    <cellStyle name="Comma 2 4 15" xfId="404" xr:uid="{00000000-0005-0000-0000-0000E4000000}"/>
    <cellStyle name="Comma 2 4 16" xfId="405" xr:uid="{00000000-0005-0000-0000-0000E5000000}"/>
    <cellStyle name="Comma 2 4 17" xfId="406" xr:uid="{00000000-0005-0000-0000-0000E6000000}"/>
    <cellStyle name="Comma 2 4 18" xfId="407" xr:uid="{00000000-0005-0000-0000-0000E7000000}"/>
    <cellStyle name="Comma 2 4 19" xfId="408" xr:uid="{00000000-0005-0000-0000-0000E8000000}"/>
    <cellStyle name="Comma 2 4 2" xfId="409" xr:uid="{00000000-0005-0000-0000-0000E9000000}"/>
    <cellStyle name="Comma 2 4 20" xfId="410" xr:uid="{00000000-0005-0000-0000-0000EA000000}"/>
    <cellStyle name="Comma 2 4 21" xfId="411" xr:uid="{00000000-0005-0000-0000-0000EB000000}"/>
    <cellStyle name="Comma 2 4 22" xfId="412" xr:uid="{00000000-0005-0000-0000-0000EC000000}"/>
    <cellStyle name="Comma 2 4 23" xfId="413" xr:uid="{00000000-0005-0000-0000-0000ED000000}"/>
    <cellStyle name="Comma 2 4 24" xfId="414" xr:uid="{00000000-0005-0000-0000-0000EE000000}"/>
    <cellStyle name="Comma 2 4 25" xfId="415" xr:uid="{00000000-0005-0000-0000-0000EF000000}"/>
    <cellStyle name="Comma 2 4 26" xfId="416" xr:uid="{00000000-0005-0000-0000-0000F0000000}"/>
    <cellStyle name="Comma 2 4 27" xfId="417" xr:uid="{00000000-0005-0000-0000-0000F1000000}"/>
    <cellStyle name="Comma 2 4 28" xfId="418" xr:uid="{00000000-0005-0000-0000-0000F2000000}"/>
    <cellStyle name="Comma 2 4 29" xfId="419" xr:uid="{00000000-0005-0000-0000-0000F3000000}"/>
    <cellStyle name="Comma 2 4 3" xfId="420" xr:uid="{00000000-0005-0000-0000-0000F4000000}"/>
    <cellStyle name="Comma 2 4 30" xfId="421" xr:uid="{00000000-0005-0000-0000-0000F5000000}"/>
    <cellStyle name="Comma 2 4 31" xfId="422" xr:uid="{00000000-0005-0000-0000-0000F6000000}"/>
    <cellStyle name="Comma 2 4 32" xfId="423" xr:uid="{00000000-0005-0000-0000-0000F7000000}"/>
    <cellStyle name="Comma 2 4 33" xfId="424" xr:uid="{00000000-0005-0000-0000-0000F8000000}"/>
    <cellStyle name="Comma 2 4 34" xfId="425" xr:uid="{00000000-0005-0000-0000-0000F9000000}"/>
    <cellStyle name="Comma 2 4 35" xfId="426" xr:uid="{00000000-0005-0000-0000-0000FA000000}"/>
    <cellStyle name="Comma 2 4 36" xfId="427" xr:uid="{00000000-0005-0000-0000-0000FB000000}"/>
    <cellStyle name="Comma 2 4 37" xfId="398" xr:uid="{00000000-0005-0000-0000-0000FC000000}"/>
    <cellStyle name="Comma 2 4 4" xfId="428" xr:uid="{00000000-0005-0000-0000-0000FD000000}"/>
    <cellStyle name="Comma 2 4 5" xfId="429" xr:uid="{00000000-0005-0000-0000-0000FE000000}"/>
    <cellStyle name="Comma 2 4 6" xfId="430" xr:uid="{00000000-0005-0000-0000-0000FF000000}"/>
    <cellStyle name="Comma 2 4 7" xfId="431" xr:uid="{00000000-0005-0000-0000-000000010000}"/>
    <cellStyle name="Comma 2 4 8" xfId="432" xr:uid="{00000000-0005-0000-0000-000001010000}"/>
    <cellStyle name="Comma 2 4 9" xfId="433" xr:uid="{00000000-0005-0000-0000-000002010000}"/>
    <cellStyle name="Comma 2 40" xfId="434" xr:uid="{00000000-0005-0000-0000-000003010000}"/>
    <cellStyle name="Comma 2 41" xfId="435" xr:uid="{00000000-0005-0000-0000-000004010000}"/>
    <cellStyle name="Comma 2 5" xfId="436" xr:uid="{00000000-0005-0000-0000-000005010000}"/>
    <cellStyle name="Comma 2 5 10" xfId="437" xr:uid="{00000000-0005-0000-0000-000006010000}"/>
    <cellStyle name="Comma 2 5 11" xfId="438" xr:uid="{00000000-0005-0000-0000-000007010000}"/>
    <cellStyle name="Comma 2 5 12" xfId="439" xr:uid="{00000000-0005-0000-0000-000008010000}"/>
    <cellStyle name="Comma 2 5 13" xfId="440" xr:uid="{00000000-0005-0000-0000-000009010000}"/>
    <cellStyle name="Comma 2 5 14" xfId="441" xr:uid="{00000000-0005-0000-0000-00000A010000}"/>
    <cellStyle name="Comma 2 5 15" xfId="442" xr:uid="{00000000-0005-0000-0000-00000B010000}"/>
    <cellStyle name="Comma 2 5 16" xfId="443" xr:uid="{00000000-0005-0000-0000-00000C010000}"/>
    <cellStyle name="Comma 2 5 17" xfId="444" xr:uid="{00000000-0005-0000-0000-00000D010000}"/>
    <cellStyle name="Comma 2 5 18" xfId="445" xr:uid="{00000000-0005-0000-0000-00000E010000}"/>
    <cellStyle name="Comma 2 5 19" xfId="446" xr:uid="{00000000-0005-0000-0000-00000F010000}"/>
    <cellStyle name="Comma 2 5 2" xfId="447" xr:uid="{00000000-0005-0000-0000-000010010000}"/>
    <cellStyle name="Comma 2 5 20" xfId="448" xr:uid="{00000000-0005-0000-0000-000011010000}"/>
    <cellStyle name="Comma 2 5 21" xfId="449" xr:uid="{00000000-0005-0000-0000-000012010000}"/>
    <cellStyle name="Comma 2 5 22" xfId="450" xr:uid="{00000000-0005-0000-0000-000013010000}"/>
    <cellStyle name="Comma 2 5 23" xfId="451" xr:uid="{00000000-0005-0000-0000-000014010000}"/>
    <cellStyle name="Comma 2 5 24" xfId="452" xr:uid="{00000000-0005-0000-0000-000015010000}"/>
    <cellStyle name="Comma 2 5 25" xfId="453" xr:uid="{00000000-0005-0000-0000-000016010000}"/>
    <cellStyle name="Comma 2 5 26" xfId="454" xr:uid="{00000000-0005-0000-0000-000017010000}"/>
    <cellStyle name="Comma 2 5 27" xfId="455" xr:uid="{00000000-0005-0000-0000-000018010000}"/>
    <cellStyle name="Comma 2 5 28" xfId="456" xr:uid="{00000000-0005-0000-0000-000019010000}"/>
    <cellStyle name="Comma 2 5 29" xfId="457" xr:uid="{00000000-0005-0000-0000-00001A010000}"/>
    <cellStyle name="Comma 2 5 3" xfId="458" xr:uid="{00000000-0005-0000-0000-00001B010000}"/>
    <cellStyle name="Comma 2 5 30" xfId="459" xr:uid="{00000000-0005-0000-0000-00001C010000}"/>
    <cellStyle name="Comma 2 5 31" xfId="460" xr:uid="{00000000-0005-0000-0000-00001D010000}"/>
    <cellStyle name="Comma 2 5 32" xfId="461" xr:uid="{00000000-0005-0000-0000-00001E010000}"/>
    <cellStyle name="Comma 2 5 33" xfId="462" xr:uid="{00000000-0005-0000-0000-00001F010000}"/>
    <cellStyle name="Comma 2 5 34" xfId="463" xr:uid="{00000000-0005-0000-0000-000020010000}"/>
    <cellStyle name="Comma 2 5 35" xfId="464" xr:uid="{00000000-0005-0000-0000-000021010000}"/>
    <cellStyle name="Comma 2 5 36" xfId="465" xr:uid="{00000000-0005-0000-0000-000022010000}"/>
    <cellStyle name="Comma 2 5 4" xfId="466" xr:uid="{00000000-0005-0000-0000-000023010000}"/>
    <cellStyle name="Comma 2 5 5" xfId="467" xr:uid="{00000000-0005-0000-0000-000024010000}"/>
    <cellStyle name="Comma 2 5 6" xfId="468" xr:uid="{00000000-0005-0000-0000-000025010000}"/>
    <cellStyle name="Comma 2 5 7" xfId="469" xr:uid="{00000000-0005-0000-0000-000026010000}"/>
    <cellStyle name="Comma 2 5 8" xfId="470" xr:uid="{00000000-0005-0000-0000-000027010000}"/>
    <cellStyle name="Comma 2 5 9" xfId="471" xr:uid="{00000000-0005-0000-0000-000028010000}"/>
    <cellStyle name="Comma 2 6" xfId="472" xr:uid="{00000000-0005-0000-0000-000029010000}"/>
    <cellStyle name="Comma 2 6 10" xfId="473" xr:uid="{00000000-0005-0000-0000-00002A010000}"/>
    <cellStyle name="Comma 2 6 11" xfId="474" xr:uid="{00000000-0005-0000-0000-00002B010000}"/>
    <cellStyle name="Comma 2 6 12" xfId="475" xr:uid="{00000000-0005-0000-0000-00002C010000}"/>
    <cellStyle name="Comma 2 6 13" xfId="476" xr:uid="{00000000-0005-0000-0000-00002D010000}"/>
    <cellStyle name="Comma 2 6 14" xfId="477" xr:uid="{00000000-0005-0000-0000-00002E010000}"/>
    <cellStyle name="Comma 2 6 15" xfId="478" xr:uid="{00000000-0005-0000-0000-00002F010000}"/>
    <cellStyle name="Comma 2 6 16" xfId="479" xr:uid="{00000000-0005-0000-0000-000030010000}"/>
    <cellStyle name="Comma 2 6 17" xfId="480" xr:uid="{00000000-0005-0000-0000-000031010000}"/>
    <cellStyle name="Comma 2 6 18" xfId="481" xr:uid="{00000000-0005-0000-0000-000032010000}"/>
    <cellStyle name="Comma 2 6 19" xfId="482" xr:uid="{00000000-0005-0000-0000-000033010000}"/>
    <cellStyle name="Comma 2 6 2" xfId="483" xr:uid="{00000000-0005-0000-0000-000034010000}"/>
    <cellStyle name="Comma 2 6 20" xfId="484" xr:uid="{00000000-0005-0000-0000-000035010000}"/>
    <cellStyle name="Comma 2 6 21" xfId="485" xr:uid="{00000000-0005-0000-0000-000036010000}"/>
    <cellStyle name="Comma 2 6 22" xfId="486" xr:uid="{00000000-0005-0000-0000-000037010000}"/>
    <cellStyle name="Comma 2 6 23" xfId="487" xr:uid="{00000000-0005-0000-0000-000038010000}"/>
    <cellStyle name="Comma 2 6 24" xfId="488" xr:uid="{00000000-0005-0000-0000-000039010000}"/>
    <cellStyle name="Comma 2 6 25" xfId="489" xr:uid="{00000000-0005-0000-0000-00003A010000}"/>
    <cellStyle name="Comma 2 6 26" xfId="490" xr:uid="{00000000-0005-0000-0000-00003B010000}"/>
    <cellStyle name="Comma 2 6 27" xfId="491" xr:uid="{00000000-0005-0000-0000-00003C010000}"/>
    <cellStyle name="Comma 2 6 28" xfId="492" xr:uid="{00000000-0005-0000-0000-00003D010000}"/>
    <cellStyle name="Comma 2 6 29" xfId="493" xr:uid="{00000000-0005-0000-0000-00003E010000}"/>
    <cellStyle name="Comma 2 6 3" xfId="494" xr:uid="{00000000-0005-0000-0000-00003F010000}"/>
    <cellStyle name="Comma 2 6 30" xfId="495" xr:uid="{00000000-0005-0000-0000-000040010000}"/>
    <cellStyle name="Comma 2 6 31" xfId="496" xr:uid="{00000000-0005-0000-0000-000041010000}"/>
    <cellStyle name="Comma 2 6 32" xfId="497" xr:uid="{00000000-0005-0000-0000-000042010000}"/>
    <cellStyle name="Comma 2 6 33" xfId="498" xr:uid="{00000000-0005-0000-0000-000043010000}"/>
    <cellStyle name="Comma 2 6 34" xfId="499" xr:uid="{00000000-0005-0000-0000-000044010000}"/>
    <cellStyle name="Comma 2 6 35" xfId="500" xr:uid="{00000000-0005-0000-0000-000045010000}"/>
    <cellStyle name="Comma 2 6 36" xfId="501" xr:uid="{00000000-0005-0000-0000-000046010000}"/>
    <cellStyle name="Comma 2 6 4" xfId="502" xr:uid="{00000000-0005-0000-0000-000047010000}"/>
    <cellStyle name="Comma 2 6 5" xfId="503" xr:uid="{00000000-0005-0000-0000-000048010000}"/>
    <cellStyle name="Comma 2 6 6" xfId="504" xr:uid="{00000000-0005-0000-0000-000049010000}"/>
    <cellStyle name="Comma 2 6 7" xfId="505" xr:uid="{00000000-0005-0000-0000-00004A010000}"/>
    <cellStyle name="Comma 2 6 8" xfId="506" xr:uid="{00000000-0005-0000-0000-00004B010000}"/>
    <cellStyle name="Comma 2 6 9" xfId="507" xr:uid="{00000000-0005-0000-0000-00004C010000}"/>
    <cellStyle name="Comma 2 7" xfId="508" xr:uid="{00000000-0005-0000-0000-00004D010000}"/>
    <cellStyle name="Comma 2 7 10" xfId="509" xr:uid="{00000000-0005-0000-0000-00004E010000}"/>
    <cellStyle name="Comma 2 7 11" xfId="510" xr:uid="{00000000-0005-0000-0000-00004F010000}"/>
    <cellStyle name="Comma 2 7 12" xfId="511" xr:uid="{00000000-0005-0000-0000-000050010000}"/>
    <cellStyle name="Comma 2 7 13" xfId="512" xr:uid="{00000000-0005-0000-0000-000051010000}"/>
    <cellStyle name="Comma 2 7 14" xfId="513" xr:uid="{00000000-0005-0000-0000-000052010000}"/>
    <cellStyle name="Comma 2 7 15" xfId="514" xr:uid="{00000000-0005-0000-0000-000053010000}"/>
    <cellStyle name="Comma 2 7 16" xfId="515" xr:uid="{00000000-0005-0000-0000-000054010000}"/>
    <cellStyle name="Comma 2 7 17" xfId="516" xr:uid="{00000000-0005-0000-0000-000055010000}"/>
    <cellStyle name="Comma 2 7 18" xfId="517" xr:uid="{00000000-0005-0000-0000-000056010000}"/>
    <cellStyle name="Comma 2 7 19" xfId="518" xr:uid="{00000000-0005-0000-0000-000057010000}"/>
    <cellStyle name="Comma 2 7 2" xfId="519" xr:uid="{00000000-0005-0000-0000-000058010000}"/>
    <cellStyle name="Comma 2 7 20" xfId="520" xr:uid="{00000000-0005-0000-0000-000059010000}"/>
    <cellStyle name="Comma 2 7 21" xfId="521" xr:uid="{00000000-0005-0000-0000-00005A010000}"/>
    <cellStyle name="Comma 2 7 22" xfId="522" xr:uid="{00000000-0005-0000-0000-00005B010000}"/>
    <cellStyle name="Comma 2 7 23" xfId="523" xr:uid="{00000000-0005-0000-0000-00005C010000}"/>
    <cellStyle name="Comma 2 7 24" xfId="524" xr:uid="{00000000-0005-0000-0000-00005D010000}"/>
    <cellStyle name="Comma 2 7 25" xfId="525" xr:uid="{00000000-0005-0000-0000-00005E010000}"/>
    <cellStyle name="Comma 2 7 26" xfId="526" xr:uid="{00000000-0005-0000-0000-00005F010000}"/>
    <cellStyle name="Comma 2 7 27" xfId="527" xr:uid="{00000000-0005-0000-0000-000060010000}"/>
    <cellStyle name="Comma 2 7 28" xfId="528" xr:uid="{00000000-0005-0000-0000-000061010000}"/>
    <cellStyle name="Comma 2 7 29" xfId="529" xr:uid="{00000000-0005-0000-0000-000062010000}"/>
    <cellStyle name="Comma 2 7 3" xfId="530" xr:uid="{00000000-0005-0000-0000-000063010000}"/>
    <cellStyle name="Comma 2 7 30" xfId="531" xr:uid="{00000000-0005-0000-0000-000064010000}"/>
    <cellStyle name="Comma 2 7 31" xfId="532" xr:uid="{00000000-0005-0000-0000-000065010000}"/>
    <cellStyle name="Comma 2 7 32" xfId="533" xr:uid="{00000000-0005-0000-0000-000066010000}"/>
    <cellStyle name="Comma 2 7 4" xfId="534" xr:uid="{00000000-0005-0000-0000-000067010000}"/>
    <cellStyle name="Comma 2 7 5" xfId="535" xr:uid="{00000000-0005-0000-0000-000068010000}"/>
    <cellStyle name="Comma 2 7 6" xfId="536" xr:uid="{00000000-0005-0000-0000-000069010000}"/>
    <cellStyle name="Comma 2 7 7" xfId="537" xr:uid="{00000000-0005-0000-0000-00006A010000}"/>
    <cellStyle name="Comma 2 7 8" xfId="538" xr:uid="{00000000-0005-0000-0000-00006B010000}"/>
    <cellStyle name="Comma 2 7 9" xfId="539" xr:uid="{00000000-0005-0000-0000-00006C010000}"/>
    <cellStyle name="Comma 2 8" xfId="540" xr:uid="{00000000-0005-0000-0000-00006D010000}"/>
    <cellStyle name="Comma 2 9" xfId="541" xr:uid="{00000000-0005-0000-0000-00006E010000}"/>
    <cellStyle name="Comma 3" xfId="32" xr:uid="{00000000-0005-0000-0000-00006F010000}"/>
    <cellStyle name="Comma 3 2" xfId="107" xr:uid="{00000000-0005-0000-0000-000070010000}"/>
    <cellStyle name="Comma 3 3" xfId="109" xr:uid="{00000000-0005-0000-0000-000071010000}"/>
    <cellStyle name="Comma 3 4" xfId="200" xr:uid="{00000000-0005-0000-0000-000072010000}"/>
    <cellStyle name="Comma 3 5" xfId="542" xr:uid="{00000000-0005-0000-0000-000073010000}"/>
    <cellStyle name="Comma 4" xfId="47" xr:uid="{00000000-0005-0000-0000-000074010000}"/>
    <cellStyle name="Comma 4 2" xfId="117" xr:uid="{00000000-0005-0000-0000-000075010000}"/>
    <cellStyle name="Comma 4 3" xfId="238" xr:uid="{00000000-0005-0000-0000-000076010000}"/>
    <cellStyle name="Comma 5" xfId="53" xr:uid="{00000000-0005-0000-0000-000077010000}"/>
    <cellStyle name="Comma 5 2" xfId="543" xr:uid="{00000000-0005-0000-0000-000078010000}"/>
    <cellStyle name="Comma 6" xfId="101" xr:uid="{00000000-0005-0000-0000-000079010000}"/>
    <cellStyle name="Comma 6 2" xfId="544" xr:uid="{00000000-0005-0000-0000-00007A010000}"/>
    <cellStyle name="Comma 7" xfId="106" xr:uid="{00000000-0005-0000-0000-00007B010000}"/>
    <cellStyle name="Comma 7 2" xfId="563" xr:uid="{00000000-0005-0000-0000-00007C010000}"/>
    <cellStyle name="Comma 8" xfId="575" xr:uid="{00000000-0005-0000-0000-00007D010000}"/>
    <cellStyle name="Comma 9" xfId="557" xr:uid="{00000000-0005-0000-0000-00007E010000}"/>
    <cellStyle name="Currency 2" xfId="114" xr:uid="{00000000-0005-0000-0000-00007F010000}"/>
    <cellStyle name="Currency 3" xfId="195" xr:uid="{00000000-0005-0000-0000-000080010000}"/>
    <cellStyle name="Explanatory Text" xfId="136" builtinId="53" customBuiltin="1"/>
    <cellStyle name="Explanatory Text 2" xfId="83" xr:uid="{00000000-0005-0000-0000-000082010000}"/>
    <cellStyle name="Explanatory Text 2 2" xfId="212" xr:uid="{00000000-0005-0000-0000-000083010000}"/>
    <cellStyle name="Good" xfId="127" builtinId="26" customBuiltin="1"/>
    <cellStyle name="Good 2" xfId="84" xr:uid="{00000000-0005-0000-0000-000085010000}"/>
    <cellStyle name="Good 2 2" xfId="207" xr:uid="{00000000-0005-0000-0000-000086010000}"/>
    <cellStyle name="Heading 1" xfId="123" builtinId="16" customBuiltin="1"/>
    <cellStyle name="Heading 1 2" xfId="85" xr:uid="{00000000-0005-0000-0000-000088010000}"/>
    <cellStyle name="Heading 2" xfId="124" builtinId="17" customBuiltin="1"/>
    <cellStyle name="Heading 2 2" xfId="86" xr:uid="{00000000-0005-0000-0000-00008A010000}"/>
    <cellStyle name="Heading 3" xfId="125" builtinId="18" customBuiltin="1"/>
    <cellStyle name="Heading 3 2" xfId="87" xr:uid="{00000000-0005-0000-0000-00008C010000}"/>
    <cellStyle name="Heading 4" xfId="126" builtinId="19" customBuiltin="1"/>
    <cellStyle name="Heading 4 2" xfId="88" xr:uid="{00000000-0005-0000-0000-00008E010000}"/>
    <cellStyle name="Heading 4 2 2" xfId="206" xr:uid="{00000000-0005-0000-0000-00008F010000}"/>
    <cellStyle name="Hyperlink" xfId="52" xr:uid="{00000000-0005-0000-0000-000090010000}"/>
    <cellStyle name="Hyperlink 2" xfId="162" xr:uid="{00000000-0005-0000-0000-000091010000}"/>
    <cellStyle name="Hyperlink 2 2" xfId="559" xr:uid="{00000000-0005-0000-0000-000092010000}"/>
    <cellStyle name="Hyperlink 3" xfId="574" xr:uid="{00000000-0005-0000-0000-000093010000}"/>
    <cellStyle name="Input" xfId="130" builtinId="20" customBuiltin="1"/>
    <cellStyle name="Input 2" xfId="89" xr:uid="{00000000-0005-0000-0000-000095010000}"/>
    <cellStyle name="Linked Cell" xfId="133" builtinId="24" customBuiltin="1"/>
    <cellStyle name="Linked Cell 2" xfId="90" xr:uid="{00000000-0005-0000-0000-000097010000}"/>
    <cellStyle name="Neutral" xfId="129" builtinId="28" customBuiltin="1"/>
    <cellStyle name="Neutral 2" xfId="91" xr:uid="{00000000-0005-0000-0000-000099010000}"/>
    <cellStyle name="Neutral 2 2" xfId="209" xr:uid="{00000000-0005-0000-0000-00009A010000}"/>
    <cellStyle name="Neutral 2 3" xfId="598" xr:uid="{00000000-0005-0000-0000-00009B010000}"/>
    <cellStyle name="Neutral 3" xfId="265" xr:uid="{00000000-0005-0000-0000-00009C010000}"/>
    <cellStyle name="Normal" xfId="0" builtinId="0"/>
    <cellStyle name="Normal 10" xfId="100" xr:uid="{00000000-0005-0000-0000-00009E010000}"/>
    <cellStyle name="Normal 10 2" xfId="180" xr:uid="{00000000-0005-0000-0000-00009F010000}"/>
    <cellStyle name="Normal 10 3" xfId="164" xr:uid="{00000000-0005-0000-0000-0000A0010000}"/>
    <cellStyle name="Normal 10 4" xfId="545" xr:uid="{00000000-0005-0000-0000-0000A1010000}"/>
    <cellStyle name="Normal 11" xfId="3" xr:uid="{00000000-0005-0000-0000-0000A2010000}"/>
    <cellStyle name="Normal 11 2" xfId="33" xr:uid="{00000000-0005-0000-0000-0000A3010000}"/>
    <cellStyle name="Normal 11 2 2" xfId="181" xr:uid="{00000000-0005-0000-0000-0000A4010000}"/>
    <cellStyle name="Normal 11 3" xfId="165" xr:uid="{00000000-0005-0000-0000-0000A5010000}"/>
    <cellStyle name="Normal 11 4" xfId="546" xr:uid="{00000000-0005-0000-0000-0000A6010000}"/>
    <cellStyle name="Normal 12" xfId="4" xr:uid="{00000000-0005-0000-0000-0000A7010000}"/>
    <cellStyle name="Normal 12 2" xfId="182" xr:uid="{00000000-0005-0000-0000-0000A8010000}"/>
    <cellStyle name="Normal 12 2 2" xfId="570" xr:uid="{00000000-0005-0000-0000-0000A9010000}"/>
    <cellStyle name="Normal 12 3" xfId="166" xr:uid="{00000000-0005-0000-0000-0000AA010000}"/>
    <cellStyle name="Normal 12 4" xfId="554" xr:uid="{00000000-0005-0000-0000-0000AB010000}"/>
    <cellStyle name="Normal 13" xfId="5" xr:uid="{00000000-0005-0000-0000-0000AC010000}"/>
    <cellStyle name="Normal 13 2" xfId="34" xr:uid="{00000000-0005-0000-0000-0000AD010000}"/>
    <cellStyle name="Normal 13 2 2" xfId="183" xr:uid="{00000000-0005-0000-0000-0000AE010000}"/>
    <cellStyle name="Normal 13 2 2 2" xfId="572" xr:uid="{00000000-0005-0000-0000-0000AF010000}"/>
    <cellStyle name="Normal 13 3" xfId="167" xr:uid="{00000000-0005-0000-0000-0000B0010000}"/>
    <cellStyle name="Normal 13 3 2" xfId="286" xr:uid="{00000000-0005-0000-0000-0000B1010000}"/>
    <cellStyle name="Normal 13 4" xfId="287" xr:uid="{00000000-0005-0000-0000-0000B2010000}"/>
    <cellStyle name="Normal 13 5" xfId="555" xr:uid="{00000000-0005-0000-0000-0000B3010000}"/>
    <cellStyle name="Normal 14" xfId="6" xr:uid="{00000000-0005-0000-0000-0000B4010000}"/>
    <cellStyle name="Normal 14 2" xfId="184" xr:uid="{00000000-0005-0000-0000-0000B5010000}"/>
    <cellStyle name="Normal 14 2 2" xfId="573" xr:uid="{00000000-0005-0000-0000-0000B6010000}"/>
    <cellStyle name="Normal 14 3" xfId="168" xr:uid="{00000000-0005-0000-0000-0000B7010000}"/>
    <cellStyle name="Normal 14 4" xfId="556" xr:uid="{00000000-0005-0000-0000-0000B8010000}"/>
    <cellStyle name="Normal 15" xfId="7" xr:uid="{00000000-0005-0000-0000-0000B9010000}"/>
    <cellStyle name="Normal 15 2" xfId="35" xr:uid="{00000000-0005-0000-0000-0000BA010000}"/>
    <cellStyle name="Normal 15 2 2" xfId="185" xr:uid="{00000000-0005-0000-0000-0000BB010000}"/>
    <cellStyle name="Normal 15 3" xfId="169" xr:uid="{00000000-0005-0000-0000-0000BC010000}"/>
    <cellStyle name="Normal 16" xfId="105" xr:uid="{00000000-0005-0000-0000-0000BD010000}"/>
    <cellStyle name="Normal 16 2" xfId="186" xr:uid="{00000000-0005-0000-0000-0000BE010000}"/>
    <cellStyle name="Normal 16 2 2" xfId="577" xr:uid="{00000000-0005-0000-0000-0000BF010000}"/>
    <cellStyle name="Normal 16 3" xfId="170" xr:uid="{00000000-0005-0000-0000-0000C0010000}"/>
    <cellStyle name="Normal 16 4" xfId="560" xr:uid="{00000000-0005-0000-0000-0000C1010000}"/>
    <cellStyle name="Normal 17" xfId="171" xr:uid="{00000000-0005-0000-0000-0000C2010000}"/>
    <cellStyle name="Normal 17 2" xfId="187" xr:uid="{00000000-0005-0000-0000-0000C3010000}"/>
    <cellStyle name="Normal 17 3" xfId="561" xr:uid="{00000000-0005-0000-0000-0000C4010000}"/>
    <cellStyle name="Normal 18" xfId="8" xr:uid="{00000000-0005-0000-0000-0000C5010000}"/>
    <cellStyle name="Normal 18 2" xfId="36" xr:uid="{00000000-0005-0000-0000-0000C6010000}"/>
    <cellStyle name="Normal 18 3" xfId="564" xr:uid="{00000000-0005-0000-0000-0000C7010000}"/>
    <cellStyle name="Normal 19" xfId="9" xr:uid="{00000000-0005-0000-0000-0000C8010000}"/>
    <cellStyle name="Normal 19 2" xfId="112" xr:uid="{00000000-0005-0000-0000-0000C9010000}"/>
    <cellStyle name="Normal 19 2 2" xfId="188" xr:uid="{00000000-0005-0000-0000-0000CA010000}"/>
    <cellStyle name="Normal 19 3" xfId="172" xr:uid="{00000000-0005-0000-0000-0000CB010000}"/>
    <cellStyle name="Normal 19 4" xfId="565" xr:uid="{00000000-0005-0000-0000-0000CC010000}"/>
    <cellStyle name="Normal 2" xfId="10" xr:uid="{00000000-0005-0000-0000-0000CD010000}"/>
    <cellStyle name="Normal 2 11" xfId="11" xr:uid="{00000000-0005-0000-0000-0000CE010000}"/>
    <cellStyle name="Normal 2 11 2" xfId="38" xr:uid="{00000000-0005-0000-0000-0000CF010000}"/>
    <cellStyle name="Normal 2 15" xfId="12" xr:uid="{00000000-0005-0000-0000-0000D0010000}"/>
    <cellStyle name="Normal 2 15 2" xfId="39" xr:uid="{00000000-0005-0000-0000-0000D1010000}"/>
    <cellStyle name="Normal 2 2" xfId="37" xr:uid="{00000000-0005-0000-0000-0000D2010000}"/>
    <cellStyle name="Normal 2 2 2" xfId="203" xr:uid="{00000000-0005-0000-0000-0000D3010000}"/>
    <cellStyle name="Normal 2 2 2 2" xfId="547" xr:uid="{00000000-0005-0000-0000-0000D4010000}"/>
    <cellStyle name="Normal 2 2 3" xfId="548" xr:uid="{00000000-0005-0000-0000-0000D5010000}"/>
    <cellStyle name="Normal 2 2 4" xfId="549" xr:uid="{00000000-0005-0000-0000-0000D6010000}"/>
    <cellStyle name="Normal 2 3" xfId="92" xr:uid="{00000000-0005-0000-0000-0000D7010000}"/>
    <cellStyle name="Normal 2 3 2" xfId="254" xr:uid="{00000000-0005-0000-0000-0000D8010000}"/>
    <cellStyle name="Normal 2 3 2 2" xfId="294" xr:uid="{00000000-0005-0000-0000-0000D9010000}"/>
    <cellStyle name="Normal 2 3 3" xfId="288" xr:uid="{00000000-0005-0000-0000-0000DA010000}"/>
    <cellStyle name="Normal 2 4" xfId="110" xr:uid="{00000000-0005-0000-0000-0000DB010000}"/>
    <cellStyle name="Normal 2 4 2" xfId="289" xr:uid="{00000000-0005-0000-0000-0000DC010000}"/>
    <cellStyle name="Normal 2 5" xfId="115" xr:uid="{00000000-0005-0000-0000-0000DD010000}"/>
    <cellStyle name="Normal 2 5 2" xfId="293" xr:uid="{00000000-0005-0000-0000-0000DE010000}"/>
    <cellStyle name="Normal 2 6" xfId="119" xr:uid="{00000000-0005-0000-0000-0000DF010000}"/>
    <cellStyle name="Normal 2 6 2" xfId="599" xr:uid="{00000000-0005-0000-0000-0000E0010000}"/>
    <cellStyle name="Normal 2 7" xfId="602" xr:uid="{00000000-0005-0000-0000-0000E1010000}"/>
    <cellStyle name="Normal 2_ PBS Ministry1" xfId="93" xr:uid="{00000000-0005-0000-0000-0000E2010000}"/>
    <cellStyle name="Normal 20" xfId="13" xr:uid="{00000000-0005-0000-0000-0000E3010000}"/>
    <cellStyle name="Normal 20 2" xfId="40" xr:uid="{00000000-0005-0000-0000-0000E4010000}"/>
    <cellStyle name="Normal 20 2 2" xfId="113" xr:uid="{00000000-0005-0000-0000-0000E5010000}"/>
    <cellStyle name="Normal 20 3" xfId="566" xr:uid="{00000000-0005-0000-0000-0000E6010000}"/>
    <cellStyle name="Normal 21" xfId="14" xr:uid="{00000000-0005-0000-0000-0000E7010000}"/>
    <cellStyle name="Normal 21 2" xfId="189" xr:uid="{00000000-0005-0000-0000-0000E8010000}"/>
    <cellStyle name="Normal 21 3" xfId="173" xr:uid="{00000000-0005-0000-0000-0000E9010000}"/>
    <cellStyle name="Normal 21 4" xfId="569" xr:uid="{00000000-0005-0000-0000-0000EA010000}"/>
    <cellStyle name="Normal 22" xfId="15" xr:uid="{00000000-0005-0000-0000-0000EB010000}"/>
    <cellStyle name="Normal 22 2" xfId="190" xr:uid="{00000000-0005-0000-0000-0000EC010000}"/>
    <cellStyle name="Normal 22 3" xfId="174" xr:uid="{00000000-0005-0000-0000-0000ED010000}"/>
    <cellStyle name="Normal 22 4" xfId="292" xr:uid="{00000000-0005-0000-0000-0000EE010000}"/>
    <cellStyle name="Normal 23" xfId="175" xr:uid="{00000000-0005-0000-0000-0000EF010000}"/>
    <cellStyle name="Normal 23 2" xfId="191" xr:uid="{00000000-0005-0000-0000-0000F0010000}"/>
    <cellStyle name="Normal 24" xfId="16" xr:uid="{00000000-0005-0000-0000-0000F1010000}"/>
    <cellStyle name="Normal 24 2" xfId="192" xr:uid="{00000000-0005-0000-0000-0000F2010000}"/>
    <cellStyle name="Normal 24 3" xfId="176" xr:uid="{00000000-0005-0000-0000-0000F3010000}"/>
    <cellStyle name="Normal 25" xfId="17" xr:uid="{00000000-0005-0000-0000-0000F4010000}"/>
    <cellStyle name="Normal 25 2" xfId="41" xr:uid="{00000000-0005-0000-0000-0000F5010000}"/>
    <cellStyle name="Normal 26" xfId="18" xr:uid="{00000000-0005-0000-0000-0000F6010000}"/>
    <cellStyle name="Normal 26 2" xfId="193" xr:uid="{00000000-0005-0000-0000-0000F7010000}"/>
    <cellStyle name="Normal 26 3" xfId="177" xr:uid="{00000000-0005-0000-0000-0000F8010000}"/>
    <cellStyle name="Normal 27" xfId="178" xr:uid="{00000000-0005-0000-0000-0000F9010000}"/>
    <cellStyle name="Normal 27 2" xfId="194" xr:uid="{00000000-0005-0000-0000-0000FA010000}"/>
    <cellStyle name="Normal 28" xfId="19" xr:uid="{00000000-0005-0000-0000-0000FB010000}"/>
    <cellStyle name="Normal 28 2" xfId="196" xr:uid="{00000000-0005-0000-0000-0000FC010000}"/>
    <cellStyle name="Normal 29" xfId="111" xr:uid="{00000000-0005-0000-0000-0000FD010000}"/>
    <cellStyle name="Normal 29 2" xfId="198" xr:uid="{00000000-0005-0000-0000-0000FE010000}"/>
    <cellStyle name="Normal 3" xfId="20" xr:uid="{00000000-0005-0000-0000-0000FF010000}"/>
    <cellStyle name="Normal 3 2" xfId="42" xr:uid="{00000000-0005-0000-0000-000000020000}"/>
    <cellStyle name="Normal 3 2 2" xfId="204" xr:uid="{00000000-0005-0000-0000-000001020000}"/>
    <cellStyle name="Normal 3 2 3" xfId="297" xr:uid="{00000000-0005-0000-0000-000002020000}"/>
    <cellStyle name="Normal 3 3" xfId="116" xr:uid="{00000000-0005-0000-0000-000003020000}"/>
    <cellStyle name="Normal 3 3 2" xfId="255" xr:uid="{00000000-0005-0000-0000-000004020000}"/>
    <cellStyle name="Normal 3 4" xfId="120" xr:uid="{00000000-0005-0000-0000-000005020000}"/>
    <cellStyle name="Normal 30" xfId="21" xr:uid="{00000000-0005-0000-0000-000006020000}"/>
    <cellStyle name="Normal 30 2" xfId="199" xr:uid="{00000000-0005-0000-0000-000007020000}"/>
    <cellStyle name="Normal 31" xfId="201" xr:uid="{00000000-0005-0000-0000-000008020000}"/>
    <cellStyle name="Normal 32" xfId="22" xr:uid="{00000000-0005-0000-0000-000009020000}"/>
    <cellStyle name="Normal 32 2" xfId="237" xr:uid="{00000000-0005-0000-0000-00000A020000}"/>
    <cellStyle name="Normal 33" xfId="239" xr:uid="{00000000-0005-0000-0000-00000B020000}"/>
    <cellStyle name="Normal 34" xfId="240" xr:uid="{00000000-0005-0000-0000-00000C020000}"/>
    <cellStyle name="Normal 35" xfId="241" xr:uid="{00000000-0005-0000-0000-00000D020000}"/>
    <cellStyle name="Normal 36" xfId="242" xr:uid="{00000000-0005-0000-0000-00000E020000}"/>
    <cellStyle name="Normal 37" xfId="23" xr:uid="{00000000-0005-0000-0000-00000F020000}"/>
    <cellStyle name="Normal 37 2" xfId="250" xr:uid="{00000000-0005-0000-0000-000010020000}"/>
    <cellStyle name="Normal 37 3" xfId="243" xr:uid="{00000000-0005-0000-0000-000011020000}"/>
    <cellStyle name="Normal 38" xfId="104" xr:uid="{00000000-0005-0000-0000-000012020000}"/>
    <cellStyle name="Normal 38 2" xfId="251" xr:uid="{00000000-0005-0000-0000-000013020000}"/>
    <cellStyle name="Normal 38 3" xfId="244" xr:uid="{00000000-0005-0000-0000-000014020000}"/>
    <cellStyle name="Normal 39" xfId="245" xr:uid="{00000000-0005-0000-0000-000015020000}"/>
    <cellStyle name="Normal 4" xfId="46" xr:uid="{00000000-0005-0000-0000-000016020000}"/>
    <cellStyle name="Normal 4 2" xfId="51" xr:uid="{00000000-0005-0000-0000-000017020000}"/>
    <cellStyle name="Normal 4 2 2" xfId="179" xr:uid="{00000000-0005-0000-0000-000018020000}"/>
    <cellStyle name="Normal 4 2 3" xfId="567" xr:uid="{00000000-0005-0000-0000-000019020000}"/>
    <cellStyle name="Normal 4 3" xfId="121" xr:uid="{00000000-0005-0000-0000-00001A020000}"/>
    <cellStyle name="Normal 4 3 2" xfId="261" xr:uid="{00000000-0005-0000-0000-00001B020000}"/>
    <cellStyle name="Normal 4 3 3" xfId="295" xr:uid="{00000000-0005-0000-0000-00001C020000}"/>
    <cellStyle name="Normal 4 4" xfId="163" xr:uid="{00000000-0005-0000-0000-00001D020000}"/>
    <cellStyle name="Normal 4 5" xfId="290" xr:uid="{00000000-0005-0000-0000-00001E020000}"/>
    <cellStyle name="Normal 40" xfId="246" xr:uid="{00000000-0005-0000-0000-00001F020000}"/>
    <cellStyle name="Normal 41" xfId="247" xr:uid="{00000000-0005-0000-0000-000020020000}"/>
    <cellStyle name="Normal 42" xfId="248" xr:uid="{00000000-0005-0000-0000-000021020000}"/>
    <cellStyle name="Normal 43" xfId="249" xr:uid="{00000000-0005-0000-0000-000022020000}"/>
    <cellStyle name="Normal 44" xfId="252" xr:uid="{00000000-0005-0000-0000-000023020000}"/>
    <cellStyle name="Normal 45" xfId="253" xr:uid="{00000000-0005-0000-0000-000024020000}"/>
    <cellStyle name="Normal 46" xfId="263" xr:uid="{00000000-0005-0000-0000-000025020000}"/>
    <cellStyle name="Normal 5" xfId="24" xr:uid="{00000000-0005-0000-0000-000026020000}"/>
    <cellStyle name="Normal 5 2" xfId="43" xr:uid="{00000000-0005-0000-0000-000027020000}"/>
    <cellStyle name="Normal 5 2 2" xfId="259" xr:uid="{00000000-0005-0000-0000-000028020000}"/>
    <cellStyle name="Normal 5 2 2 2" xfId="568" xr:uid="{00000000-0005-0000-0000-000029020000}"/>
    <cellStyle name="Normal 5 2 3" xfId="291" xr:uid="{00000000-0005-0000-0000-00002A020000}"/>
    <cellStyle name="Normal 5 3" xfId="296" xr:uid="{00000000-0005-0000-0000-00002B020000}"/>
    <cellStyle name="Normal 6" xfId="50" xr:uid="{00000000-0005-0000-0000-00002C020000}"/>
    <cellStyle name="Normal 6 2" xfId="257" xr:uid="{00000000-0005-0000-0000-00002D020000}"/>
    <cellStyle name="Normal 6 3" xfId="550" xr:uid="{00000000-0005-0000-0000-00002E020000}"/>
    <cellStyle name="Normal 7" xfId="25" xr:uid="{00000000-0005-0000-0000-00002F020000}"/>
    <cellStyle name="Normal 7 2" xfId="44" xr:uid="{00000000-0005-0000-0000-000030020000}"/>
    <cellStyle name="Normal 7 3" xfId="551" xr:uid="{00000000-0005-0000-0000-000031020000}"/>
    <cellStyle name="Normal 8" xfId="55" xr:uid="{00000000-0005-0000-0000-000032020000}"/>
    <cellStyle name="Normal 8 2" xfId="118" xr:uid="{00000000-0005-0000-0000-000033020000}"/>
    <cellStyle name="Normal 8 3" xfId="552" xr:uid="{00000000-0005-0000-0000-000034020000}"/>
    <cellStyle name="Normal 9" xfId="26" xr:uid="{00000000-0005-0000-0000-000035020000}"/>
    <cellStyle name="Normal 9 2" xfId="45" xr:uid="{00000000-0005-0000-0000-000036020000}"/>
    <cellStyle name="Normal 9 3" xfId="553" xr:uid="{00000000-0005-0000-0000-000037020000}"/>
    <cellStyle name="Normal_All generation &amp; comparisonMar-12" xfId="27" xr:uid="{00000000-0005-0000-0000-000038020000}"/>
    <cellStyle name="Normal_Power Generation Report - April-2012" xfId="28" xr:uid="{00000000-0005-0000-0000-000039020000}"/>
    <cellStyle name="Note 2" xfId="94" xr:uid="{00000000-0005-0000-0000-00003A020000}"/>
    <cellStyle name="Note 2 2" xfId="262" xr:uid="{00000000-0005-0000-0000-00003B020000}"/>
    <cellStyle name="Note 2 3" xfId="211" xr:uid="{00000000-0005-0000-0000-00003C020000}"/>
    <cellStyle name="Note 2 4" xfId="600" xr:uid="{00000000-0005-0000-0000-00003D020000}"/>
    <cellStyle name="Note 3" xfId="258" xr:uid="{00000000-0005-0000-0000-00003E020000}"/>
    <cellStyle name="Note 4" xfId="256" xr:uid="{00000000-0005-0000-0000-00003F020000}"/>
    <cellStyle name="Note 5" xfId="260" xr:uid="{00000000-0005-0000-0000-000040020000}"/>
    <cellStyle name="Note 6" xfId="266" xr:uid="{00000000-0005-0000-0000-000041020000}"/>
    <cellStyle name="Output" xfId="131" builtinId="21" customBuiltin="1"/>
    <cellStyle name="Output 2" xfId="95" xr:uid="{00000000-0005-0000-0000-000043020000}"/>
    <cellStyle name="Percent" xfId="29" builtinId="5"/>
    <cellStyle name="Percent 2" xfId="49" xr:uid="{00000000-0005-0000-0000-000045020000}"/>
    <cellStyle name="Percent 2 2" xfId="30" xr:uid="{00000000-0005-0000-0000-000046020000}"/>
    <cellStyle name="Percent 2 2 2" xfId="571" xr:uid="{00000000-0005-0000-0000-000047020000}"/>
    <cellStyle name="Percent 2 3" xfId="31" xr:uid="{00000000-0005-0000-0000-000048020000}"/>
    <cellStyle name="Percent 2 4" xfId="96" xr:uid="{00000000-0005-0000-0000-000049020000}"/>
    <cellStyle name="Percent 3" xfId="54" xr:uid="{00000000-0005-0000-0000-00004A020000}"/>
    <cellStyle name="Percent 3 2" xfId="197" xr:uid="{00000000-0005-0000-0000-00004B020000}"/>
    <cellStyle name="Percent 3 2 2" xfId="576" xr:uid="{00000000-0005-0000-0000-00004C020000}"/>
    <cellStyle name="Percent 3 3" xfId="558" xr:uid="{00000000-0005-0000-0000-00004D020000}"/>
    <cellStyle name="Percent 4" xfId="108" xr:uid="{00000000-0005-0000-0000-00004E020000}"/>
    <cellStyle name="Percent 4 2" xfId="202" xr:uid="{00000000-0005-0000-0000-00004F020000}"/>
    <cellStyle name="Percent 4 3" xfId="562" xr:uid="{00000000-0005-0000-0000-000050020000}"/>
    <cellStyle name="Title" xfId="122" builtinId="15" customBuiltin="1"/>
    <cellStyle name="Title 2" xfId="97" xr:uid="{00000000-0005-0000-0000-000052020000}"/>
    <cellStyle name="Title 2 2" xfId="205" xr:uid="{00000000-0005-0000-0000-000053020000}"/>
    <cellStyle name="Title 2 3" xfId="601" xr:uid="{00000000-0005-0000-0000-000054020000}"/>
    <cellStyle name="Title 3" xfId="264" xr:uid="{00000000-0005-0000-0000-000055020000}"/>
    <cellStyle name="Total" xfId="137" builtinId="25" customBuiltin="1"/>
    <cellStyle name="Total 2" xfId="98" xr:uid="{00000000-0005-0000-0000-000057020000}"/>
    <cellStyle name="Warning Text" xfId="135" builtinId="11" customBuiltin="1"/>
    <cellStyle name="Warning Text 2" xfId="99" xr:uid="{00000000-0005-0000-0000-000059020000}"/>
    <cellStyle name="Warning Text 2 2" xfId="210" xr:uid="{00000000-0005-0000-0000-00005A02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Q32"/>
  <sheetViews>
    <sheetView view="pageBreakPreview" topLeftCell="B9" zoomScaleSheetLayoutView="100" workbookViewId="0">
      <selection activeCell="H3" sqref="H3:J3"/>
    </sheetView>
  </sheetViews>
  <sheetFormatPr defaultColWidth="9.140625" defaultRowHeight="12.75" x14ac:dyDescent="0.2"/>
  <cols>
    <col min="1" max="1" width="6" style="1" customWidth="1"/>
    <col min="2" max="2" width="5.42578125" style="1" customWidth="1"/>
    <col min="3" max="3" width="23.28515625" style="1" customWidth="1"/>
    <col min="4" max="4" width="11.140625" style="1" customWidth="1"/>
    <col min="5" max="5" width="11.5703125" style="1" customWidth="1"/>
    <col min="6" max="6" width="11.85546875" style="1" customWidth="1"/>
    <col min="7" max="7" width="7" style="1" customWidth="1"/>
    <col min="8" max="8" width="13.5703125" style="1" customWidth="1"/>
    <col min="9" max="9" width="15.28515625" style="1" bestFit="1" customWidth="1"/>
    <col min="10" max="10" width="10.28515625" style="1" customWidth="1"/>
    <col min="11" max="11" width="14" style="1" customWidth="1"/>
    <col min="12" max="12" width="11" style="1" bestFit="1" customWidth="1"/>
    <col min="13" max="13" width="12.28515625" style="1" customWidth="1"/>
    <col min="14" max="14" width="13.7109375" style="1" customWidth="1"/>
    <col min="15" max="15" width="10" style="1" customWidth="1"/>
    <col min="16" max="16384" width="9.140625" style="1"/>
  </cols>
  <sheetData>
    <row r="2" spans="1:17" x14ac:dyDescent="0.2">
      <c r="A2" s="1267"/>
      <c r="B2" s="1267"/>
      <c r="C2" s="1267"/>
      <c r="D2" s="1267"/>
      <c r="E2" s="1267"/>
      <c r="F2" s="1267"/>
      <c r="G2" s="1267"/>
      <c r="H2" s="1267"/>
      <c r="I2" s="1267"/>
      <c r="J2" s="1267"/>
    </row>
    <row r="3" spans="1:17" ht="22.5" x14ac:dyDescent="0.2">
      <c r="A3" s="1286" t="s">
        <v>480</v>
      </c>
      <c r="B3" s="1286"/>
      <c r="C3" s="1286"/>
      <c r="D3" s="1286"/>
      <c r="E3" s="1286"/>
      <c r="F3" s="1286"/>
      <c r="G3" s="1286"/>
      <c r="H3" s="1287" t="str">
        <f>Summary!C1</f>
        <v>Month: June/2025</v>
      </c>
      <c r="I3" s="1287"/>
      <c r="J3" s="1287"/>
    </row>
    <row r="4" spans="1:17" ht="20.25" customHeight="1" x14ac:dyDescent="0.2">
      <c r="A4" s="1280"/>
      <c r="B4" s="1280"/>
      <c r="C4" s="1280"/>
      <c r="D4" s="1280"/>
      <c r="E4" s="1280"/>
      <c r="F4" s="1280"/>
      <c r="G4" s="1280"/>
      <c r="H4" s="1280"/>
      <c r="I4" s="1280"/>
      <c r="J4" s="1280"/>
    </row>
    <row r="5" spans="1:17" ht="51" customHeight="1" thickBot="1" x14ac:dyDescent="0.25">
      <c r="A5" s="286" t="s">
        <v>15</v>
      </c>
      <c r="B5" s="287" t="s">
        <v>399</v>
      </c>
      <c r="C5" s="287" t="s">
        <v>478</v>
      </c>
      <c r="D5" s="288" t="s">
        <v>22</v>
      </c>
      <c r="E5" s="288" t="s">
        <v>23</v>
      </c>
      <c r="F5" s="288" t="s">
        <v>439</v>
      </c>
      <c r="G5" s="287" t="s">
        <v>479</v>
      </c>
      <c r="H5" s="287" t="s">
        <v>424</v>
      </c>
      <c r="I5" s="287" t="s">
        <v>24</v>
      </c>
      <c r="J5" s="287" t="s">
        <v>411</v>
      </c>
      <c r="K5" s="7"/>
      <c r="O5" s="37"/>
    </row>
    <row r="6" spans="1:17" ht="14.25" customHeight="1" thickTop="1" x14ac:dyDescent="0.2">
      <c r="A6" s="282">
        <v>1</v>
      </c>
      <c r="B6" s="283">
        <v>2</v>
      </c>
      <c r="C6" s="284">
        <v>3</v>
      </c>
      <c r="D6" s="282">
        <v>4</v>
      </c>
      <c r="E6" s="282">
        <v>5</v>
      </c>
      <c r="F6" s="282" t="s">
        <v>657</v>
      </c>
      <c r="G6" s="285">
        <v>7</v>
      </c>
      <c r="H6" s="283">
        <v>8</v>
      </c>
      <c r="I6" s="285" t="s">
        <v>472</v>
      </c>
      <c r="J6" s="285">
        <v>10</v>
      </c>
      <c r="K6" s="7"/>
      <c r="O6" s="37"/>
    </row>
    <row r="7" spans="1:17" ht="20.100000000000001" customHeight="1" x14ac:dyDescent="0.25">
      <c r="A7" s="1274" t="s">
        <v>473</v>
      </c>
      <c r="B7" s="252">
        <v>1</v>
      </c>
      <c r="C7" s="253" t="s">
        <v>661</v>
      </c>
      <c r="D7" s="807">
        <f>'Generation Reading'!C1118</f>
        <v>3392.6235000000001</v>
      </c>
      <c r="E7" s="254">
        <f>'Generation Reading'!D1118</f>
        <v>3415.3924999999999</v>
      </c>
      <c r="F7" s="255">
        <f t="shared" ref="F7:F16" si="0">E7-D7</f>
        <v>22.768999999999778</v>
      </c>
      <c r="G7" s="255">
        <v>1</v>
      </c>
      <c r="H7" s="255">
        <v>7272727.2727272725</v>
      </c>
      <c r="I7" s="273">
        <f>'Generation Reading'!H1118</f>
        <v>165592727.27272564</v>
      </c>
      <c r="J7" s="256"/>
      <c r="K7" s="275"/>
      <c r="L7" s="22"/>
      <c r="M7" s="24"/>
      <c r="N7" s="23"/>
      <c r="O7" s="26"/>
      <c r="P7" s="16"/>
      <c r="Q7" s="27"/>
    </row>
    <row r="8" spans="1:17" ht="20.100000000000001" customHeight="1" x14ac:dyDescent="0.25">
      <c r="A8" s="1275"/>
      <c r="B8" s="257">
        <v>2</v>
      </c>
      <c r="C8" s="258" t="s">
        <v>662</v>
      </c>
      <c r="D8" s="260">
        <f>'Generation Reading'!C1119</f>
        <v>0.1007</v>
      </c>
      <c r="E8" s="259">
        <f>'Generation Reading'!C1119</f>
        <v>0.1007</v>
      </c>
      <c r="F8" s="261">
        <f t="shared" si="0"/>
        <v>0</v>
      </c>
      <c r="G8" s="262">
        <v>1</v>
      </c>
      <c r="H8" s="262">
        <v>7272727.2727272725</v>
      </c>
      <c r="I8" s="248">
        <f>'Generation Reading'!H1119</f>
        <v>0</v>
      </c>
      <c r="J8" s="272"/>
      <c r="K8" s="277"/>
      <c r="L8" s="30"/>
      <c r="M8" s="280"/>
      <c r="N8" s="28"/>
      <c r="O8" s="29"/>
      <c r="P8" s="17"/>
      <c r="Q8" s="21"/>
    </row>
    <row r="9" spans="1:17" ht="20.100000000000001" customHeight="1" x14ac:dyDescent="0.25">
      <c r="A9" s="1275"/>
      <c r="B9" s="257">
        <v>3</v>
      </c>
      <c r="C9" s="258" t="s">
        <v>663</v>
      </c>
      <c r="D9" s="260">
        <f>'Generation Reading'!C1120</f>
        <v>955.52390000000003</v>
      </c>
      <c r="E9" s="264">
        <f>'Generation Reading'!D1120</f>
        <v>978.29399999999998</v>
      </c>
      <c r="F9" s="261">
        <f t="shared" si="0"/>
        <v>22.770099999999957</v>
      </c>
      <c r="G9" s="262">
        <v>1</v>
      </c>
      <c r="H9" s="262">
        <v>7272727.2727272725</v>
      </c>
      <c r="I9" s="248">
        <f>'Generation Reading'!H1120</f>
        <v>165600727.27272695</v>
      </c>
      <c r="J9" s="263"/>
      <c r="K9" s="756"/>
      <c r="L9" s="32"/>
      <c r="M9" s="22"/>
      <c r="N9" s="25"/>
      <c r="O9" s="33"/>
      <c r="P9" s="18"/>
      <c r="Q9" s="15"/>
    </row>
    <row r="10" spans="1:17" ht="20.100000000000001" customHeight="1" x14ac:dyDescent="0.25">
      <c r="A10" s="1275"/>
      <c r="B10" s="257">
        <v>4</v>
      </c>
      <c r="C10" s="258" t="s">
        <v>662</v>
      </c>
      <c r="D10" s="260">
        <v>0</v>
      </c>
      <c r="E10" s="265">
        <f>'Generation Reading'!D1126</f>
        <v>0</v>
      </c>
      <c r="F10" s="261">
        <f t="shared" si="0"/>
        <v>0</v>
      </c>
      <c r="G10" s="262">
        <v>1</v>
      </c>
      <c r="H10" s="262">
        <v>7272727.2727272725</v>
      </c>
      <c r="I10" s="248">
        <f>'Generation Reading'!H1121</f>
        <v>0</v>
      </c>
      <c r="J10" s="272"/>
      <c r="K10" s="276"/>
      <c r="L10" s="31"/>
      <c r="M10" s="22"/>
      <c r="N10" s="25"/>
      <c r="O10" s="26"/>
      <c r="P10" s="16"/>
      <c r="Q10" s="27"/>
    </row>
    <row r="11" spans="1:17" ht="20.100000000000001" customHeight="1" x14ac:dyDescent="0.25">
      <c r="A11" s="1275"/>
      <c r="B11" s="257">
        <f>B10+1</f>
        <v>5</v>
      </c>
      <c r="C11" s="258" t="s">
        <v>663</v>
      </c>
      <c r="D11" s="260">
        <f>'Generation Reading'!C1122</f>
        <v>926.88580000000002</v>
      </c>
      <c r="E11" s="260">
        <f>'Generation Reading'!D1122</f>
        <v>946.26990000000001</v>
      </c>
      <c r="F11" s="261">
        <f t="shared" si="0"/>
        <v>19.384099999999989</v>
      </c>
      <c r="G11" s="262">
        <v>1</v>
      </c>
      <c r="H11" s="262">
        <v>7272727.2727272725</v>
      </c>
      <c r="I11" s="248">
        <f>'Generation Reading'!H1122</f>
        <v>140975272.72727266</v>
      </c>
      <c r="J11" s="272"/>
      <c r="K11" s="800"/>
      <c r="L11" s="800"/>
      <c r="M11" s="801"/>
      <c r="N11" s="371"/>
      <c r="O11" s="16"/>
      <c r="P11" s="16"/>
      <c r="Q11" s="15"/>
    </row>
    <row r="12" spans="1:17" ht="20.100000000000001" customHeight="1" x14ac:dyDescent="0.25">
      <c r="A12" s="1275"/>
      <c r="B12" s="257">
        <f t="shared" ref="B12:B16" si="1">B11+1</f>
        <v>6</v>
      </c>
      <c r="C12" s="258" t="s">
        <v>662</v>
      </c>
      <c r="D12" s="260">
        <f>'Generation Reading'!C1123</f>
        <v>0.37169999999999997</v>
      </c>
      <c r="E12" s="260">
        <f>'Generation Reading'!D1123</f>
        <v>0.37169999999999997</v>
      </c>
      <c r="F12" s="261">
        <f t="shared" si="0"/>
        <v>0</v>
      </c>
      <c r="G12" s="262">
        <v>1</v>
      </c>
      <c r="H12" s="262">
        <v>7272727.2727272725</v>
      </c>
      <c r="I12" s="248">
        <f>'Generation Reading'!H1123</f>
        <v>0</v>
      </c>
      <c r="J12" s="272"/>
      <c r="K12" s="800"/>
      <c r="L12" s="800"/>
      <c r="M12" s="801"/>
      <c r="N12" s="371"/>
      <c r="O12" s="16"/>
      <c r="P12" s="16"/>
      <c r="Q12" s="15"/>
    </row>
    <row r="13" spans="1:17" ht="20.100000000000001" customHeight="1" x14ac:dyDescent="0.25">
      <c r="A13" s="1275"/>
      <c r="B13" s="257">
        <f t="shared" si="1"/>
        <v>7</v>
      </c>
      <c r="C13" s="258" t="s">
        <v>663</v>
      </c>
      <c r="D13" s="260">
        <f>'Generation Reading'!C1124</f>
        <v>3242.3325</v>
      </c>
      <c r="E13" s="260">
        <f>'Generation Reading'!D1124</f>
        <v>3261.7143000000001</v>
      </c>
      <c r="F13" s="261">
        <f t="shared" si="0"/>
        <v>19.381800000000112</v>
      </c>
      <c r="G13" s="262">
        <v>1</v>
      </c>
      <c r="H13" s="262">
        <v>7272727.2727272725</v>
      </c>
      <c r="I13" s="248">
        <f>'Generation Reading'!H1124</f>
        <v>140958545.45454627</v>
      </c>
      <c r="J13" s="272"/>
      <c r="K13" s="800"/>
      <c r="L13" s="800"/>
      <c r="M13" s="801"/>
      <c r="N13" s="371"/>
      <c r="O13" s="16"/>
      <c r="P13" s="16"/>
      <c r="Q13" s="15"/>
    </row>
    <row r="14" spans="1:17" ht="20.100000000000001" customHeight="1" x14ac:dyDescent="0.25">
      <c r="A14" s="1275"/>
      <c r="B14" s="257">
        <f t="shared" si="1"/>
        <v>8</v>
      </c>
      <c r="C14" s="258" t="s">
        <v>662</v>
      </c>
      <c r="D14" s="260">
        <f>'Generation Reading'!C1125</f>
        <v>1.5900000000000001E-2</v>
      </c>
      <c r="E14" s="260">
        <f>'Generation Reading'!D1125</f>
        <v>1.5900000000000001E-2</v>
      </c>
      <c r="F14" s="261">
        <f t="shared" si="0"/>
        <v>0</v>
      </c>
      <c r="G14" s="262">
        <v>1</v>
      </c>
      <c r="H14" s="262">
        <v>7272727.2727272725</v>
      </c>
      <c r="I14" s="248">
        <f>'Generation Reading'!H1125</f>
        <v>0</v>
      </c>
      <c r="J14" s="272"/>
      <c r="K14" s="800"/>
      <c r="L14" s="800"/>
      <c r="M14" s="801"/>
      <c r="N14" s="371"/>
      <c r="O14" s="16"/>
      <c r="P14" s="16"/>
      <c r="Q14" s="15"/>
    </row>
    <row r="15" spans="1:17" ht="20.100000000000001" customHeight="1" x14ac:dyDescent="0.25">
      <c r="A15" s="1275"/>
      <c r="B15" s="257">
        <v>9</v>
      </c>
      <c r="C15" s="258" t="s">
        <v>664</v>
      </c>
      <c r="D15" s="249">
        <f>'Generation Reading'!C1127</f>
        <v>4316.8090000000002</v>
      </c>
      <c r="E15" s="249">
        <f>'Generation Reading'!D1127</f>
        <v>4330.0460000000003</v>
      </c>
      <c r="F15" s="261">
        <f t="shared" si="0"/>
        <v>13.23700000000008</v>
      </c>
      <c r="G15" s="266">
        <v>1</v>
      </c>
      <c r="H15" s="267">
        <v>960000</v>
      </c>
      <c r="I15" s="248">
        <f>'Generation Reading'!H1127</f>
        <v>12707520.000000076</v>
      </c>
      <c r="J15" s="263"/>
    </row>
    <row r="16" spans="1:17" ht="20.100000000000001" customHeight="1" x14ac:dyDescent="0.25">
      <c r="A16" s="1275"/>
      <c r="B16" s="257">
        <f t="shared" si="1"/>
        <v>10</v>
      </c>
      <c r="C16" s="258" t="s">
        <v>665</v>
      </c>
      <c r="D16" s="249">
        <f>'Generation Reading'!C1128</f>
        <v>4314.4269999999997</v>
      </c>
      <c r="E16" s="249">
        <f>'Generation Reading'!D1128</f>
        <v>4327.6279999999997</v>
      </c>
      <c r="F16" s="261">
        <f t="shared" si="0"/>
        <v>13.201000000000022</v>
      </c>
      <c r="G16" s="266">
        <v>1</v>
      </c>
      <c r="H16" s="267">
        <v>960000</v>
      </c>
      <c r="I16" s="248">
        <f>'Generation Reading'!H1128</f>
        <v>12672960.00000002</v>
      </c>
      <c r="J16" s="279"/>
      <c r="K16" s="7">
        <f>I15+I16</f>
        <v>25380480.000000097</v>
      </c>
      <c r="M16" s="34"/>
    </row>
    <row r="17" spans="1:14" ht="20.100000000000001" customHeight="1" x14ac:dyDescent="0.2">
      <c r="A17" s="1276"/>
      <c r="B17" s="274" t="s">
        <v>476</v>
      </c>
      <c r="C17" s="1277" t="s">
        <v>475</v>
      </c>
      <c r="D17" s="1278"/>
      <c r="E17" s="1278"/>
      <c r="F17" s="1278"/>
      <c r="G17" s="1278"/>
      <c r="H17" s="1279"/>
      <c r="I17" s="299">
        <f>I7+I9+I15+I16-I8-I10+I11-I12+I13-I14</f>
        <v>638507752.72727156</v>
      </c>
      <c r="J17" s="278"/>
      <c r="K17" s="7">
        <f>I7+I9</f>
        <v>331193454.54545259</v>
      </c>
      <c r="M17" s="35"/>
      <c r="N17" s="7"/>
    </row>
    <row r="18" spans="1:14" ht="8.1" customHeight="1" x14ac:dyDescent="0.25">
      <c r="A18" s="268"/>
      <c r="B18" s="268"/>
      <c r="C18" s="268"/>
      <c r="D18" s="268"/>
      <c r="E18" s="268"/>
      <c r="F18" s="268"/>
      <c r="G18" s="268"/>
      <c r="H18" s="268"/>
      <c r="I18" s="269"/>
      <c r="J18" s="269"/>
      <c r="K18" s="7"/>
      <c r="M18" s="35"/>
    </row>
    <row r="19" spans="1:14" ht="20.100000000000001" customHeight="1" x14ac:dyDescent="0.3">
      <c r="A19" s="292"/>
      <c r="B19" s="297" t="s">
        <v>482</v>
      </c>
      <c r="C19" s="1281" t="s">
        <v>483</v>
      </c>
      <c r="D19" s="1281"/>
      <c r="E19" s="292"/>
      <c r="F19" s="292"/>
      <c r="G19" s="292"/>
      <c r="H19" s="292"/>
      <c r="I19" s="602">
        <f>I17</f>
        <v>638507752.72727156</v>
      </c>
      <c r="J19" s="298" t="s">
        <v>481</v>
      </c>
      <c r="K19" s="7"/>
      <c r="M19" s="35"/>
    </row>
    <row r="20" spans="1:14" ht="20.100000000000001" customHeight="1" x14ac:dyDescent="0.2">
      <c r="A20" s="292"/>
      <c r="B20" s="292"/>
      <c r="C20" s="292"/>
      <c r="D20" s="292"/>
      <c r="E20" s="292"/>
      <c r="F20" s="292"/>
      <c r="G20" s="292"/>
      <c r="H20" s="292"/>
      <c r="I20" s="291"/>
      <c r="J20" s="291"/>
      <c r="K20" s="7"/>
      <c r="M20" s="35"/>
    </row>
    <row r="21" spans="1:14" ht="20.100000000000001" customHeight="1" x14ac:dyDescent="0.2">
      <c r="A21" s="292"/>
      <c r="B21" s="292"/>
      <c r="C21" s="292"/>
      <c r="D21" s="292"/>
      <c r="E21" s="292"/>
      <c r="F21" s="292"/>
      <c r="G21" s="292"/>
      <c r="H21" s="292"/>
      <c r="I21" s="291"/>
      <c r="J21" s="291"/>
      <c r="K21" s="7"/>
      <c r="M21" s="35"/>
    </row>
    <row r="22" spans="1:14" ht="20.100000000000001" customHeight="1" x14ac:dyDescent="0.2">
      <c r="A22" s="292"/>
      <c r="B22" s="292"/>
      <c r="C22" s="292"/>
      <c r="D22" s="292"/>
      <c r="E22" s="292"/>
      <c r="F22" s="292"/>
      <c r="G22" s="292"/>
      <c r="H22" s="292"/>
      <c r="I22" s="291"/>
      <c r="J22" s="291"/>
      <c r="K22" s="7"/>
      <c r="M22" s="35"/>
      <c r="N22" s="7">
        <f>I19+I23</f>
        <v>9946786871.376112</v>
      </c>
    </row>
    <row r="23" spans="1:14" ht="21.95" customHeight="1" x14ac:dyDescent="0.2">
      <c r="A23" s="1268" t="s">
        <v>1087</v>
      </c>
      <c r="B23" s="1269"/>
      <c r="C23" s="1269"/>
      <c r="D23" s="1269"/>
      <c r="E23" s="1269"/>
      <c r="F23" s="1269"/>
      <c r="G23" s="1269"/>
      <c r="H23" s="1270"/>
      <c r="I23" s="1282">
        <f>I19+'Generation Reading'!K1114</f>
        <v>9308279118.64884</v>
      </c>
      <c r="J23" s="1284" t="s">
        <v>477</v>
      </c>
      <c r="K23" s="7"/>
      <c r="L23" s="7"/>
      <c r="M23" s="36"/>
    </row>
    <row r="24" spans="1:14" ht="49.5" customHeight="1" x14ac:dyDescent="0.2">
      <c r="A24" s="1271"/>
      <c r="B24" s="1272"/>
      <c r="C24" s="1272"/>
      <c r="D24" s="1272"/>
      <c r="E24" s="1272"/>
      <c r="F24" s="1272"/>
      <c r="G24" s="1272"/>
      <c r="H24" s="1273"/>
      <c r="I24" s="1283"/>
      <c r="J24" s="1285"/>
    </row>
    <row r="25" spans="1:14" ht="20.100000000000001" customHeight="1" x14ac:dyDescent="0.2">
      <c r="A25" s="281"/>
      <c r="B25" s="281"/>
      <c r="C25" s="281"/>
      <c r="D25" s="281"/>
      <c r="E25" s="281"/>
      <c r="F25" s="281"/>
      <c r="G25" s="281"/>
      <c r="H25" s="281"/>
      <c r="M25" s="14"/>
    </row>
    <row r="29" spans="1:14" x14ac:dyDescent="0.2">
      <c r="I29" s="7"/>
    </row>
    <row r="30" spans="1:14" x14ac:dyDescent="0.2">
      <c r="I30" s="1">
        <v>5336688355.3816519</v>
      </c>
    </row>
    <row r="31" spans="1:14" x14ac:dyDescent="0.2">
      <c r="I31" s="1">
        <v>5336465131.3816509</v>
      </c>
    </row>
    <row r="32" spans="1:14" x14ac:dyDescent="0.2">
      <c r="I32" s="1">
        <f>I30-I31</f>
        <v>223224.00000095367</v>
      </c>
    </row>
  </sheetData>
  <mergeCells count="10">
    <mergeCell ref="A2:J2"/>
    <mergeCell ref="A23:H24"/>
    <mergeCell ref="A7:A17"/>
    <mergeCell ref="C17:H17"/>
    <mergeCell ref="A4:J4"/>
    <mergeCell ref="C19:D19"/>
    <mergeCell ref="I23:I24"/>
    <mergeCell ref="J23:J24"/>
    <mergeCell ref="A3:G3"/>
    <mergeCell ref="H3:J3"/>
  </mergeCells>
  <pageMargins left="0.98425196850393704" right="0.511811023622047" top="0.511811023622047" bottom="0.511811023622047" header="0.511811023622047" footer="0.511811023622047"/>
  <pageSetup paperSize="9" scale="75" firstPageNumber="7" orientation="portrait" useFirstPageNumber="1" r:id="rId1"/>
  <headerFooter>
    <oddFooter>&amp;RPage &amp;[8</oddFooter>
  </headerFooter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U1133"/>
  <sheetViews>
    <sheetView view="pageBreakPreview" topLeftCell="A1012" zoomScaleNormal="100" zoomScaleSheetLayoutView="100" zoomScalePageLayoutView="30" workbookViewId="0">
      <selection activeCell="K1028" sqref="K1028"/>
    </sheetView>
  </sheetViews>
  <sheetFormatPr defaultRowHeight="12.75" x14ac:dyDescent="0.2"/>
  <cols>
    <col min="1" max="1" width="4.7109375" style="2" customWidth="1"/>
    <col min="2" max="2" width="39.7109375" style="2" customWidth="1"/>
    <col min="3" max="3" width="15" style="2" customWidth="1"/>
    <col min="4" max="4" width="11" style="2" customWidth="1"/>
    <col min="5" max="5" width="9.5703125" style="2" customWidth="1"/>
    <col min="6" max="6" width="11.7109375" style="483" customWidth="1"/>
    <col min="7" max="7" width="12.85546875" style="2" customWidth="1"/>
    <col min="8" max="8" width="11.28515625" style="2" customWidth="1"/>
    <col min="9" max="9" width="14.85546875" style="2" hidden="1" customWidth="1"/>
    <col min="10" max="10" width="9.5703125" style="2" hidden="1" customWidth="1"/>
    <col min="11" max="11" width="11.5703125" style="2" bestFit="1" customWidth="1"/>
    <col min="12" max="12" width="12" style="749" customWidth="1"/>
    <col min="13" max="13" width="10" style="2" bestFit="1" customWidth="1"/>
    <col min="14" max="14" width="11" style="2" bestFit="1" customWidth="1"/>
    <col min="15" max="16" width="9.140625" style="2"/>
    <col min="17" max="17" width="12" style="2" bestFit="1" customWidth="1"/>
    <col min="18" max="18" width="9.140625" style="2"/>
    <col min="19" max="19" width="9.5703125" style="2" bestFit="1" customWidth="1"/>
    <col min="20" max="20" width="10.5703125" style="2" bestFit="1" customWidth="1"/>
    <col min="21" max="16384" width="9.140625" style="2"/>
  </cols>
  <sheetData>
    <row r="1" spans="1:14" ht="23.25" customHeight="1" x14ac:dyDescent="0.2">
      <c r="A1" s="1292" t="s">
        <v>16</v>
      </c>
      <c r="B1" s="1292"/>
      <c r="C1" s="1292"/>
      <c r="D1" s="1292"/>
      <c r="E1" s="1292"/>
      <c r="F1" s="1292"/>
      <c r="G1" s="1292"/>
      <c r="H1" s="1292"/>
      <c r="I1" s="1292"/>
      <c r="J1" s="1292"/>
      <c r="K1" s="1292"/>
    </row>
    <row r="2" spans="1:14" ht="18" customHeight="1" x14ac:dyDescent="0.2">
      <c r="A2" s="5"/>
      <c r="B2" s="221"/>
      <c r="C2" s="220"/>
      <c r="D2" s="220"/>
      <c r="E2" s="220"/>
      <c r="F2" s="471"/>
      <c r="G2" s="222"/>
      <c r="H2" s="1301" t="str">
        <f>Summary!C1</f>
        <v>Month: June/2025</v>
      </c>
      <c r="I2" s="1301"/>
      <c r="J2" s="1301"/>
      <c r="K2" s="1301"/>
    </row>
    <row r="3" spans="1:14" ht="24.75" customHeight="1" x14ac:dyDescent="0.2">
      <c r="A3" s="1298" t="s">
        <v>17</v>
      </c>
      <c r="B3" s="1293" t="s">
        <v>18</v>
      </c>
      <c r="C3" s="1293" t="s">
        <v>19</v>
      </c>
      <c r="D3" s="1351" t="s">
        <v>20</v>
      </c>
      <c r="E3" s="1351" t="s">
        <v>21</v>
      </c>
      <c r="F3" s="472" t="s">
        <v>22</v>
      </c>
      <c r="G3" s="3" t="s">
        <v>23</v>
      </c>
      <c r="H3" s="1293" t="s">
        <v>324</v>
      </c>
      <c r="I3" s="3" t="s">
        <v>22</v>
      </c>
      <c r="J3" s="3" t="s">
        <v>23</v>
      </c>
      <c r="K3" s="1297" t="s">
        <v>24</v>
      </c>
    </row>
    <row r="4" spans="1:14" ht="21.75" customHeight="1" x14ac:dyDescent="0.2">
      <c r="A4" s="1298"/>
      <c r="B4" s="1293"/>
      <c r="C4" s="1293"/>
      <c r="D4" s="1352"/>
      <c r="E4" s="1352"/>
      <c r="F4" s="472" t="s">
        <v>25</v>
      </c>
      <c r="G4" s="3" t="s">
        <v>26</v>
      </c>
      <c r="H4" s="1293"/>
      <c r="I4" s="3" t="s">
        <v>308</v>
      </c>
      <c r="J4" s="3" t="s">
        <v>309</v>
      </c>
      <c r="K4" s="1297"/>
    </row>
    <row r="5" spans="1:14" ht="12.75" customHeight="1" x14ac:dyDescent="0.2">
      <c r="A5" s="1294" t="s">
        <v>5</v>
      </c>
      <c r="B5" s="214" t="s">
        <v>27</v>
      </c>
      <c r="C5" s="215">
        <v>127478</v>
      </c>
      <c r="D5" s="215">
        <v>10000</v>
      </c>
      <c r="E5" s="216">
        <v>0.99370000000000003</v>
      </c>
      <c r="F5" s="581">
        <v>964852.5</v>
      </c>
      <c r="G5" s="581">
        <v>964852.5</v>
      </c>
      <c r="H5" s="217">
        <f t="shared" ref="H5:H18" si="0">G5-F5</f>
        <v>0</v>
      </c>
      <c r="I5" s="218"/>
      <c r="J5" s="218"/>
      <c r="K5" s="219">
        <f t="shared" ref="K5:K10" si="1">(G5-F5)*D5*E5</f>
        <v>0</v>
      </c>
    </row>
    <row r="6" spans="1:14" x14ac:dyDescent="0.2">
      <c r="A6" s="1295"/>
      <c r="B6" s="47" t="s">
        <v>28</v>
      </c>
      <c r="C6" s="43">
        <v>127442</v>
      </c>
      <c r="D6" s="43">
        <v>10000</v>
      </c>
      <c r="E6" s="44">
        <v>1.00898</v>
      </c>
      <c r="F6" s="582">
        <v>921407</v>
      </c>
      <c r="G6" s="582">
        <v>921407</v>
      </c>
      <c r="H6" s="217">
        <f t="shared" si="0"/>
        <v>0</v>
      </c>
      <c r="I6" s="46"/>
      <c r="J6" s="46"/>
      <c r="K6" s="219">
        <f t="shared" si="1"/>
        <v>0</v>
      </c>
    </row>
    <row r="7" spans="1:14" x14ac:dyDescent="0.2">
      <c r="A7" s="1295"/>
      <c r="B7" s="157" t="s">
        <v>726</v>
      </c>
      <c r="C7" s="43"/>
      <c r="D7" s="43"/>
      <c r="E7" s="44"/>
      <c r="F7" s="583">
        <v>0</v>
      </c>
      <c r="G7" s="583">
        <v>0</v>
      </c>
      <c r="H7" s="217">
        <f t="shared" si="0"/>
        <v>0</v>
      </c>
      <c r="I7" s="46"/>
      <c r="J7" s="46"/>
      <c r="K7" s="219">
        <f t="shared" si="1"/>
        <v>0</v>
      </c>
      <c r="N7" s="365" t="s">
        <v>1329</v>
      </c>
    </row>
    <row r="8" spans="1:14" x14ac:dyDescent="0.2">
      <c r="A8" s="1295"/>
      <c r="B8" s="157" t="s">
        <v>1413</v>
      </c>
      <c r="C8" s="1353">
        <v>38992608</v>
      </c>
      <c r="D8" s="43">
        <v>2875000</v>
      </c>
      <c r="E8" s="44">
        <v>1</v>
      </c>
      <c r="F8" s="582">
        <v>1107.4349999999999</v>
      </c>
      <c r="G8" s="582">
        <v>1112.856</v>
      </c>
      <c r="H8" s="217">
        <f t="shared" si="0"/>
        <v>5.4210000000000491</v>
      </c>
      <c r="I8" s="46"/>
      <c r="J8" s="46"/>
      <c r="K8" s="219">
        <f t="shared" si="1"/>
        <v>15585375.000000142</v>
      </c>
    </row>
    <row r="9" spans="1:14" x14ac:dyDescent="0.2">
      <c r="A9" s="1295"/>
      <c r="B9" s="157" t="s">
        <v>1414</v>
      </c>
      <c r="C9" s="1354"/>
      <c r="D9" s="43">
        <v>2875000</v>
      </c>
      <c r="E9" s="44">
        <v>1</v>
      </c>
      <c r="F9" s="582">
        <v>14.843999999999999</v>
      </c>
      <c r="G9" s="582">
        <v>15.148</v>
      </c>
      <c r="H9" s="217">
        <f t="shared" si="0"/>
        <v>0.30400000000000027</v>
      </c>
      <c r="I9" s="46"/>
      <c r="J9" s="46"/>
      <c r="K9" s="219">
        <f t="shared" si="1"/>
        <v>874000.00000000081</v>
      </c>
    </row>
    <row r="10" spans="1:14" x14ac:dyDescent="0.2">
      <c r="A10" s="1295"/>
      <c r="B10" s="157" t="s">
        <v>1415</v>
      </c>
      <c r="C10" s="43">
        <v>38992604</v>
      </c>
      <c r="D10" s="43">
        <v>196875</v>
      </c>
      <c r="E10" s="44">
        <v>1</v>
      </c>
      <c r="F10" s="584">
        <v>1118.67</v>
      </c>
      <c r="G10" s="584">
        <v>1126.31</v>
      </c>
      <c r="H10" s="217">
        <f t="shared" si="0"/>
        <v>7.6399999999998727</v>
      </c>
      <c r="I10" s="46"/>
      <c r="J10" s="46"/>
      <c r="K10" s="219">
        <f t="shared" si="1"/>
        <v>1504124.9999999749</v>
      </c>
    </row>
    <row r="11" spans="1:14" x14ac:dyDescent="0.2">
      <c r="A11" s="1295"/>
      <c r="B11" s="157" t="s">
        <v>29</v>
      </c>
      <c r="C11" s="43">
        <v>60748</v>
      </c>
      <c r="D11" s="43">
        <v>315000</v>
      </c>
      <c r="E11" s="44">
        <v>0.99670000000000003</v>
      </c>
      <c r="F11" s="585">
        <v>10043.75</v>
      </c>
      <c r="G11" s="585">
        <v>10043.75</v>
      </c>
      <c r="H11" s="217">
        <f>G11-F11</f>
        <v>0</v>
      </c>
      <c r="I11" s="46"/>
      <c r="J11" s="46"/>
      <c r="K11" s="219">
        <f t="shared" ref="K11:K18" si="2">(G11-F11)*D11*E11</f>
        <v>0</v>
      </c>
    </row>
    <row r="12" spans="1:14" x14ac:dyDescent="0.2">
      <c r="A12" s="1295"/>
      <c r="B12" s="157" t="s">
        <v>30</v>
      </c>
      <c r="C12" s="43">
        <v>4813</v>
      </c>
      <c r="D12" s="43">
        <v>315000</v>
      </c>
      <c r="E12" s="44">
        <v>1</v>
      </c>
      <c r="F12" s="585">
        <v>9264.0300000000007</v>
      </c>
      <c r="G12" s="585">
        <v>9264.0300000000007</v>
      </c>
      <c r="H12" s="217">
        <f t="shared" si="0"/>
        <v>0</v>
      </c>
      <c r="I12" s="46"/>
      <c r="J12" s="46"/>
      <c r="K12" s="219">
        <f t="shared" si="2"/>
        <v>0</v>
      </c>
    </row>
    <row r="13" spans="1:14" x14ac:dyDescent="0.2">
      <c r="A13" s="1295"/>
      <c r="B13" s="157" t="s">
        <v>711</v>
      </c>
      <c r="C13" s="43">
        <v>5466451</v>
      </c>
      <c r="D13" s="43">
        <v>1000000</v>
      </c>
      <c r="E13" s="44">
        <v>1</v>
      </c>
      <c r="F13" s="49">
        <v>6277.7401</v>
      </c>
      <c r="G13" s="49">
        <v>6292.2605000000003</v>
      </c>
      <c r="H13" s="217">
        <f t="shared" si="0"/>
        <v>14.520400000000336</v>
      </c>
      <c r="I13" s="46"/>
      <c r="J13" s="46"/>
      <c r="K13" s="219">
        <f t="shared" si="2"/>
        <v>14520400.000000335</v>
      </c>
    </row>
    <row r="14" spans="1:14" x14ac:dyDescent="0.2">
      <c r="A14" s="1295"/>
      <c r="B14" s="492" t="s">
        <v>712</v>
      </c>
      <c r="C14" s="43" t="s">
        <v>1468</v>
      </c>
      <c r="D14" s="43">
        <v>1003636.36</v>
      </c>
      <c r="E14" s="44">
        <v>1</v>
      </c>
      <c r="F14" s="49">
        <v>2884.93</v>
      </c>
      <c r="G14" s="49">
        <v>2885.05</v>
      </c>
      <c r="H14" s="217">
        <f t="shared" si="0"/>
        <v>0.12000000000034561</v>
      </c>
      <c r="I14" s="46"/>
      <c r="J14" s="46"/>
      <c r="K14" s="219">
        <f t="shared" si="2"/>
        <v>120436.36320034687</v>
      </c>
    </row>
    <row r="15" spans="1:14" x14ac:dyDescent="0.2">
      <c r="A15" s="1295"/>
      <c r="B15" s="1009" t="s">
        <v>1471</v>
      </c>
      <c r="C15" s="1355" t="s">
        <v>1469</v>
      </c>
      <c r="D15" s="1010">
        <v>3136363.64</v>
      </c>
      <c r="E15" s="1011">
        <v>1</v>
      </c>
      <c r="F15" s="1012">
        <v>1922.65</v>
      </c>
      <c r="G15" s="1012">
        <v>1927.17</v>
      </c>
      <c r="H15" s="1013">
        <f t="shared" si="0"/>
        <v>4.5199999999999818</v>
      </c>
      <c r="I15" s="1014"/>
      <c r="J15" s="1014"/>
      <c r="K15" s="1015">
        <f t="shared" si="2"/>
        <v>14176363.652799943</v>
      </c>
    </row>
    <row r="16" spans="1:14" x14ac:dyDescent="0.2">
      <c r="A16" s="1295"/>
      <c r="B16" s="1009" t="s">
        <v>1472</v>
      </c>
      <c r="C16" s="1356"/>
      <c r="D16" s="1010">
        <v>3136363.64</v>
      </c>
      <c r="E16" s="1011">
        <v>1</v>
      </c>
      <c r="F16" s="1012">
        <v>7.22</v>
      </c>
      <c r="G16" s="1012">
        <v>7.48</v>
      </c>
      <c r="H16" s="1013">
        <f t="shared" si="0"/>
        <v>0.26000000000000068</v>
      </c>
      <c r="I16" s="1014"/>
      <c r="J16" s="1014"/>
      <c r="K16" s="1015">
        <f t="shared" si="2"/>
        <v>815454.5464000022</v>
      </c>
    </row>
    <row r="17" spans="1:11" x14ac:dyDescent="0.2">
      <c r="A17" s="1295"/>
      <c r="B17" s="1009" t="s">
        <v>1473</v>
      </c>
      <c r="C17" s="1355" t="s">
        <v>1470</v>
      </c>
      <c r="D17" s="1010">
        <v>1254545.45</v>
      </c>
      <c r="E17" s="1011">
        <v>1</v>
      </c>
      <c r="F17" s="1012">
        <v>2138.84</v>
      </c>
      <c r="G17" s="1012">
        <v>2138.92</v>
      </c>
      <c r="H17" s="1013">
        <f t="shared" si="0"/>
        <v>7.999999999992724E-2</v>
      </c>
      <c r="I17" s="1014"/>
      <c r="J17" s="1014"/>
      <c r="K17" s="1015">
        <f t="shared" si="2"/>
        <v>100363.63599990871</v>
      </c>
    </row>
    <row r="18" spans="1:11" x14ac:dyDescent="0.2">
      <c r="A18" s="1295"/>
      <c r="B18" s="1009" t="s">
        <v>1474</v>
      </c>
      <c r="C18" s="1356"/>
      <c r="D18" s="1010">
        <v>1254545.45</v>
      </c>
      <c r="E18" s="1011">
        <v>1</v>
      </c>
      <c r="F18" s="1012">
        <v>29.01</v>
      </c>
      <c r="G18" s="1012">
        <v>29.94</v>
      </c>
      <c r="H18" s="1013">
        <f t="shared" si="0"/>
        <v>0.92999999999999972</v>
      </c>
      <c r="I18" s="1014"/>
      <c r="J18" s="1014"/>
      <c r="K18" s="1015">
        <f t="shared" si="2"/>
        <v>1166727.2684999995</v>
      </c>
    </row>
    <row r="19" spans="1:11" x14ac:dyDescent="0.2">
      <c r="A19" s="1295"/>
      <c r="B19" s="50" t="s">
        <v>8</v>
      </c>
      <c r="C19" s="51"/>
      <c r="D19" s="51"/>
      <c r="E19" s="44"/>
      <c r="F19" s="52"/>
      <c r="G19" s="52"/>
      <c r="H19" s="53"/>
      <c r="I19" s="46"/>
      <c r="J19" s="46"/>
      <c r="K19" s="1246">
        <f>SUM(K5:K14)-K9-K9</f>
        <v>30856336.363200799</v>
      </c>
    </row>
    <row r="20" spans="1:11" x14ac:dyDescent="0.2">
      <c r="A20" s="1295"/>
      <c r="B20" s="47" t="s">
        <v>31</v>
      </c>
      <c r="C20" s="54">
        <v>127449</v>
      </c>
      <c r="D20" s="54">
        <v>1000</v>
      </c>
      <c r="E20" s="55">
        <v>1.0044999999999999</v>
      </c>
      <c r="F20" s="584">
        <v>755192.5</v>
      </c>
      <c r="G20" s="584">
        <v>755192.5</v>
      </c>
      <c r="H20" s="57">
        <f>G20-F20</f>
        <v>0</v>
      </c>
      <c r="I20" s="57"/>
      <c r="J20" s="57"/>
      <c r="K20" s="196">
        <f t="shared" ref="K20:K26" si="3">(G20-F20)*D20*E20</f>
        <v>0</v>
      </c>
    </row>
    <row r="21" spans="1:11" x14ac:dyDescent="0.2">
      <c r="A21" s="1295"/>
      <c r="B21" s="42" t="s">
        <v>32</v>
      </c>
      <c r="C21" s="43">
        <v>127448</v>
      </c>
      <c r="D21" s="43">
        <v>1000</v>
      </c>
      <c r="E21" s="44">
        <v>1.01102</v>
      </c>
      <c r="F21" s="584">
        <v>761152.5</v>
      </c>
      <c r="G21" s="584">
        <v>761152.5</v>
      </c>
      <c r="H21" s="46">
        <f t="shared" ref="H21:H40" si="4">G21-F21</f>
        <v>0</v>
      </c>
      <c r="I21" s="46"/>
      <c r="J21" s="46"/>
      <c r="K21" s="196">
        <f t="shared" si="3"/>
        <v>0</v>
      </c>
    </row>
    <row r="22" spans="1:11" x14ac:dyDescent="0.2">
      <c r="A22" s="1295"/>
      <c r="B22" s="42" t="s">
        <v>33</v>
      </c>
      <c r="C22" s="43">
        <v>714095</v>
      </c>
      <c r="D22" s="43">
        <v>19800</v>
      </c>
      <c r="E22" s="44">
        <v>1.0039</v>
      </c>
      <c r="F22" s="48">
        <v>12161</v>
      </c>
      <c r="G22" s="48">
        <v>12161</v>
      </c>
      <c r="H22" s="46">
        <f t="shared" si="4"/>
        <v>0</v>
      </c>
      <c r="I22" s="46"/>
      <c r="J22" s="46"/>
      <c r="K22" s="196">
        <f t="shared" si="3"/>
        <v>0</v>
      </c>
    </row>
    <row r="23" spans="1:11" x14ac:dyDescent="0.2">
      <c r="A23" s="1295"/>
      <c r="B23" s="42" t="s">
        <v>34</v>
      </c>
      <c r="C23" s="43">
        <v>368985</v>
      </c>
      <c r="D23" s="43">
        <v>19800</v>
      </c>
      <c r="E23" s="44">
        <v>1.0039</v>
      </c>
      <c r="F23" s="48">
        <v>12100.3</v>
      </c>
      <c r="G23" s="48">
        <v>12100.3</v>
      </c>
      <c r="H23" s="46">
        <f t="shared" si="4"/>
        <v>0</v>
      </c>
      <c r="I23" s="46"/>
      <c r="J23" s="46"/>
      <c r="K23" s="196">
        <f t="shared" si="3"/>
        <v>0</v>
      </c>
    </row>
    <row r="24" spans="1:11" x14ac:dyDescent="0.2">
      <c r="A24" s="1295"/>
      <c r="B24" s="42" t="s">
        <v>35</v>
      </c>
      <c r="C24" s="43">
        <v>279446</v>
      </c>
      <c r="D24" s="43">
        <v>6300</v>
      </c>
      <c r="E24" s="44">
        <v>1.0039</v>
      </c>
      <c r="F24" s="48">
        <v>2016.4</v>
      </c>
      <c r="G24" s="48">
        <v>2016.4</v>
      </c>
      <c r="H24" s="46">
        <f t="shared" si="4"/>
        <v>0</v>
      </c>
      <c r="I24" s="46"/>
      <c r="J24" s="46"/>
      <c r="K24" s="196">
        <f t="shared" si="3"/>
        <v>0</v>
      </c>
    </row>
    <row r="25" spans="1:11" x14ac:dyDescent="0.2">
      <c r="A25" s="1295"/>
      <c r="B25" s="42" t="s">
        <v>36</v>
      </c>
      <c r="C25" s="43">
        <v>368984</v>
      </c>
      <c r="D25" s="43">
        <v>19800</v>
      </c>
      <c r="E25" s="44">
        <v>0.98429999999999995</v>
      </c>
      <c r="F25" s="48"/>
      <c r="G25" s="48"/>
      <c r="H25" s="46">
        <f t="shared" si="4"/>
        <v>0</v>
      </c>
      <c r="I25" s="46"/>
      <c r="J25" s="46"/>
      <c r="K25" s="196">
        <f t="shared" si="3"/>
        <v>0</v>
      </c>
    </row>
    <row r="26" spans="1:11" x14ac:dyDescent="0.2">
      <c r="A26" s="1295"/>
      <c r="B26" s="42" t="s">
        <v>37</v>
      </c>
      <c r="C26" s="43">
        <v>714093</v>
      </c>
      <c r="D26" s="43">
        <v>19800</v>
      </c>
      <c r="E26" s="44">
        <v>0.97430000000000005</v>
      </c>
      <c r="F26" s="48"/>
      <c r="G26" s="48"/>
      <c r="H26" s="46">
        <f t="shared" si="4"/>
        <v>0</v>
      </c>
      <c r="I26" s="46"/>
      <c r="J26" s="46"/>
      <c r="K26" s="196">
        <f t="shared" si="3"/>
        <v>0</v>
      </c>
    </row>
    <row r="27" spans="1:11" x14ac:dyDescent="0.2">
      <c r="A27" s="1295"/>
      <c r="B27" s="42" t="s">
        <v>38</v>
      </c>
      <c r="C27" s="43">
        <v>176010</v>
      </c>
      <c r="D27" s="43">
        <v>6300</v>
      </c>
      <c r="E27" s="44">
        <v>0.97096000000000005</v>
      </c>
      <c r="F27" s="48"/>
      <c r="G27" s="48"/>
      <c r="H27" s="46">
        <f t="shared" si="4"/>
        <v>0</v>
      </c>
      <c r="I27" s="46"/>
      <c r="J27" s="46"/>
      <c r="K27" s="196">
        <f>(G27-F27)*D27*E27</f>
        <v>0</v>
      </c>
    </row>
    <row r="28" spans="1:11" x14ac:dyDescent="0.2">
      <c r="A28" s="1295"/>
      <c r="B28" s="122" t="s">
        <v>39</v>
      </c>
      <c r="C28" s="43">
        <v>770990</v>
      </c>
      <c r="D28" s="43">
        <v>19800</v>
      </c>
      <c r="E28" s="44">
        <v>0.99399000000000004</v>
      </c>
      <c r="F28" s="584">
        <v>8201.2000000000007</v>
      </c>
      <c r="G28" s="584">
        <v>8201.2000000000007</v>
      </c>
      <c r="H28" s="46">
        <f t="shared" si="4"/>
        <v>0</v>
      </c>
      <c r="I28" s="46"/>
      <c r="J28" s="46"/>
      <c r="K28" s="219">
        <f t="shared" ref="K28:K32" si="5">(G28-F28)*D28*E28</f>
        <v>0</v>
      </c>
    </row>
    <row r="29" spans="1:11" x14ac:dyDescent="0.2">
      <c r="A29" s="1295"/>
      <c r="B29" s="42" t="s">
        <v>40</v>
      </c>
      <c r="C29" s="43">
        <v>770927</v>
      </c>
      <c r="D29" s="43">
        <v>19800</v>
      </c>
      <c r="E29" s="44">
        <v>0.99126999999999998</v>
      </c>
      <c r="F29" s="584">
        <v>8353.15</v>
      </c>
      <c r="G29" s="584">
        <v>8353.15</v>
      </c>
      <c r="H29" s="46">
        <f t="shared" si="4"/>
        <v>0</v>
      </c>
      <c r="I29" s="46"/>
      <c r="J29" s="46"/>
      <c r="K29" s="219">
        <f t="shared" si="5"/>
        <v>0</v>
      </c>
    </row>
    <row r="30" spans="1:11" x14ac:dyDescent="0.2">
      <c r="A30" s="1295"/>
      <c r="B30" s="42" t="s">
        <v>41</v>
      </c>
      <c r="C30" s="43">
        <v>60749</v>
      </c>
      <c r="D30" s="43">
        <v>6300</v>
      </c>
      <c r="E30" s="44">
        <v>0.98950000000000005</v>
      </c>
      <c r="F30" s="584">
        <v>7245.34</v>
      </c>
      <c r="G30" s="584">
        <v>7245.34</v>
      </c>
      <c r="H30" s="46">
        <f t="shared" si="4"/>
        <v>0</v>
      </c>
      <c r="I30" s="46"/>
      <c r="J30" s="46"/>
      <c r="K30" s="219">
        <f t="shared" si="5"/>
        <v>0</v>
      </c>
    </row>
    <row r="31" spans="1:11" x14ac:dyDescent="0.2">
      <c r="A31" s="1295"/>
      <c r="B31" s="42" t="s">
        <v>1416</v>
      </c>
      <c r="C31" s="43"/>
      <c r="D31" s="43">
        <v>181818.18</v>
      </c>
      <c r="E31" s="44">
        <v>1</v>
      </c>
      <c r="F31" s="947">
        <v>1318.38</v>
      </c>
      <c r="G31" s="947">
        <v>1321.89</v>
      </c>
      <c r="H31" s="46">
        <f t="shared" si="4"/>
        <v>3.5099999999999909</v>
      </c>
      <c r="I31" s="46"/>
      <c r="J31" s="46"/>
      <c r="K31" s="219">
        <f t="shared" si="5"/>
        <v>638181.81179999828</v>
      </c>
    </row>
    <row r="32" spans="1:11" x14ac:dyDescent="0.2">
      <c r="A32" s="1295"/>
      <c r="B32" s="122" t="s">
        <v>1417</v>
      </c>
      <c r="C32" s="43"/>
      <c r="D32" s="43">
        <v>163090.9</v>
      </c>
      <c r="E32" s="44">
        <v>1</v>
      </c>
      <c r="F32" s="947">
        <v>1426.72</v>
      </c>
      <c r="G32" s="947">
        <v>1433.33</v>
      </c>
      <c r="H32" s="46">
        <f t="shared" si="4"/>
        <v>6.6099999999999</v>
      </c>
      <c r="I32" s="46"/>
      <c r="J32" s="46"/>
      <c r="K32" s="219">
        <f t="shared" si="5"/>
        <v>1078030.8489999836</v>
      </c>
    </row>
    <row r="33" spans="1:12" x14ac:dyDescent="0.2">
      <c r="A33" s="1295"/>
      <c r="B33" s="122" t="s">
        <v>1415</v>
      </c>
      <c r="C33" s="43"/>
      <c r="D33" s="43"/>
      <c r="E33" s="44"/>
      <c r="F33" s="58"/>
      <c r="G33" s="58"/>
      <c r="H33" s="46"/>
      <c r="I33" s="46"/>
      <c r="J33" s="46"/>
      <c r="K33" s="1247">
        <f>K10</f>
        <v>1504124.9999999749</v>
      </c>
    </row>
    <row r="34" spans="1:12" x14ac:dyDescent="0.2">
      <c r="A34" s="1295"/>
      <c r="B34" s="42" t="s">
        <v>42</v>
      </c>
      <c r="C34" s="43">
        <v>127477</v>
      </c>
      <c r="D34" s="43">
        <v>1000</v>
      </c>
      <c r="E34" s="44">
        <v>0.99329999999999996</v>
      </c>
      <c r="F34" s="56">
        <v>120364</v>
      </c>
      <c r="G34" s="56">
        <v>120364</v>
      </c>
      <c r="H34" s="46">
        <f t="shared" si="4"/>
        <v>0</v>
      </c>
      <c r="I34" s="45"/>
      <c r="J34" s="45"/>
      <c r="K34" s="219">
        <f t="shared" ref="K34:K37" si="6">(G34-F34)*D34*E34</f>
        <v>0</v>
      </c>
    </row>
    <row r="35" spans="1:12" x14ac:dyDescent="0.2">
      <c r="A35" s="1295"/>
      <c r="B35" s="42" t="s">
        <v>43</v>
      </c>
      <c r="C35" s="43">
        <v>188473</v>
      </c>
      <c r="D35" s="43">
        <v>26400</v>
      </c>
      <c r="E35" s="44">
        <v>1</v>
      </c>
      <c r="F35" s="58">
        <v>9466.7999999999993</v>
      </c>
      <c r="G35" s="58">
        <v>9466.7999999999993</v>
      </c>
      <c r="H35" s="46">
        <f t="shared" si="4"/>
        <v>0</v>
      </c>
      <c r="I35" s="46"/>
      <c r="J35" s="46"/>
      <c r="K35" s="219">
        <f t="shared" si="6"/>
        <v>0</v>
      </c>
    </row>
    <row r="36" spans="1:12" x14ac:dyDescent="0.2">
      <c r="A36" s="1295"/>
      <c r="B36" s="42" t="s">
        <v>44</v>
      </c>
      <c r="C36" s="43">
        <v>192176</v>
      </c>
      <c r="D36" s="43">
        <v>26400</v>
      </c>
      <c r="E36" s="44">
        <v>1</v>
      </c>
      <c r="F36" s="58">
        <v>4266.45</v>
      </c>
      <c r="G36" s="58">
        <v>4266.45</v>
      </c>
      <c r="H36" s="46">
        <f t="shared" si="4"/>
        <v>0</v>
      </c>
      <c r="I36" s="46"/>
      <c r="J36" s="46"/>
      <c r="K36" s="219">
        <f t="shared" si="6"/>
        <v>0</v>
      </c>
    </row>
    <row r="37" spans="1:12" x14ac:dyDescent="0.2">
      <c r="A37" s="1295"/>
      <c r="B37" s="492" t="s">
        <v>713</v>
      </c>
      <c r="C37" s="493">
        <v>770971</v>
      </c>
      <c r="D37" s="493">
        <v>26400</v>
      </c>
      <c r="E37" s="422">
        <v>1</v>
      </c>
      <c r="F37" s="473">
        <v>9757.25</v>
      </c>
      <c r="G37" s="473">
        <v>9760</v>
      </c>
      <c r="H37" s="424">
        <f t="shared" si="4"/>
        <v>2.75</v>
      </c>
      <c r="I37" s="424"/>
      <c r="J37" s="424"/>
      <c r="K37" s="219">
        <f t="shared" si="6"/>
        <v>72600</v>
      </c>
    </row>
    <row r="38" spans="1:12" x14ac:dyDescent="0.2">
      <c r="A38" s="1295"/>
      <c r="B38" s="492" t="s">
        <v>714</v>
      </c>
      <c r="C38" s="493">
        <v>184090</v>
      </c>
      <c r="D38" s="493">
        <v>26400</v>
      </c>
      <c r="E38" s="422">
        <v>1</v>
      </c>
      <c r="F38" s="947">
        <v>9009</v>
      </c>
      <c r="G38" s="947">
        <v>9011.0499999999993</v>
      </c>
      <c r="H38" s="424">
        <f t="shared" si="4"/>
        <v>2.0499999999992724</v>
      </c>
      <c r="I38" s="424"/>
      <c r="J38" s="424"/>
      <c r="K38" s="219">
        <f t="shared" ref="K38:K40" si="7">(G38-F38)*D38*E38</f>
        <v>54119.999999980791</v>
      </c>
    </row>
    <row r="39" spans="1:12" x14ac:dyDescent="0.2">
      <c r="A39" s="1295"/>
      <c r="B39" s="492" t="s">
        <v>1102</v>
      </c>
      <c r="C39" s="43"/>
      <c r="D39" s="43">
        <v>26400</v>
      </c>
      <c r="E39" s="44">
        <v>1</v>
      </c>
      <c r="F39" s="947">
        <v>1725.85</v>
      </c>
      <c r="G39" s="947">
        <v>1728.16</v>
      </c>
      <c r="H39" s="46">
        <f t="shared" si="4"/>
        <v>2.3100000000001728</v>
      </c>
      <c r="I39" s="46"/>
      <c r="J39" s="46"/>
      <c r="K39" s="219">
        <f t="shared" si="7"/>
        <v>60984.000000004562</v>
      </c>
    </row>
    <row r="40" spans="1:12" x14ac:dyDescent="0.2">
      <c r="A40" s="1295"/>
      <c r="B40" s="492" t="s">
        <v>715</v>
      </c>
      <c r="C40" s="43"/>
      <c r="D40" s="43">
        <v>26400</v>
      </c>
      <c r="E40" s="44">
        <v>1</v>
      </c>
      <c r="F40" s="587">
        <v>1395</v>
      </c>
      <c r="G40" s="587">
        <v>1395</v>
      </c>
      <c r="H40" s="46">
        <f t="shared" si="4"/>
        <v>0</v>
      </c>
      <c r="I40" s="46"/>
      <c r="J40" s="46"/>
      <c r="K40" s="219">
        <f t="shared" si="7"/>
        <v>0</v>
      </c>
    </row>
    <row r="41" spans="1:12" x14ac:dyDescent="0.2">
      <c r="A41" s="1295"/>
      <c r="B41" s="42" t="s">
        <v>620</v>
      </c>
      <c r="C41" s="43"/>
      <c r="D41" s="43"/>
      <c r="E41" s="44"/>
      <c r="F41" s="473"/>
      <c r="G41" s="58"/>
      <c r="H41" s="46"/>
      <c r="I41" s="46"/>
      <c r="J41" s="46"/>
      <c r="K41" s="586">
        <v>0</v>
      </c>
    </row>
    <row r="42" spans="1:12" x14ac:dyDescent="0.2">
      <c r="A42" s="1295"/>
      <c r="B42" s="42" t="s">
        <v>716</v>
      </c>
      <c r="C42" s="43"/>
      <c r="D42" s="43">
        <v>3450000</v>
      </c>
      <c r="E42" s="44">
        <v>1</v>
      </c>
      <c r="F42" s="473">
        <v>4.18</v>
      </c>
      <c r="G42" s="58">
        <v>4.1900000000000004</v>
      </c>
      <c r="H42" s="46">
        <f t="shared" ref="H42" si="8">G42-F42</f>
        <v>1.0000000000000675E-2</v>
      </c>
      <c r="I42" s="46"/>
      <c r="J42" s="46"/>
      <c r="K42" s="219">
        <f t="shared" ref="K42" si="9">(G42-F42)*D42*E42</f>
        <v>34500.000000002328</v>
      </c>
    </row>
    <row r="43" spans="1:12" x14ac:dyDescent="0.2">
      <c r="A43" s="1295"/>
      <c r="B43" s="42" t="s">
        <v>717</v>
      </c>
      <c r="C43" s="43">
        <v>38992605</v>
      </c>
      <c r="D43" s="43">
        <v>345000</v>
      </c>
      <c r="E43" s="44">
        <v>1</v>
      </c>
      <c r="F43" s="473">
        <v>4.0380000000000003</v>
      </c>
      <c r="G43" s="473">
        <v>4.0780000000000003</v>
      </c>
      <c r="H43" s="46">
        <f t="shared" ref="H43" si="10">G43-F43</f>
        <v>4.0000000000000036E-2</v>
      </c>
      <c r="I43" s="46"/>
      <c r="J43" s="46"/>
      <c r="K43" s="219">
        <f t="shared" ref="K43" si="11">(G43-F43)*D43*E43</f>
        <v>13800.000000000013</v>
      </c>
    </row>
    <row r="44" spans="1:12" x14ac:dyDescent="0.2">
      <c r="A44" s="1295"/>
      <c r="B44" s="59" t="s">
        <v>45</v>
      </c>
      <c r="C44" s="51"/>
      <c r="D44" s="51"/>
      <c r="E44" s="44"/>
      <c r="F44" s="423"/>
      <c r="G44" s="60"/>
      <c r="H44" s="46">
        <f>G44-F44</f>
        <v>0</v>
      </c>
      <c r="I44" s="53"/>
      <c r="J44" s="53"/>
      <c r="K44" s="1248">
        <f>SUM(K20:K43)</f>
        <v>3456341.6607999448</v>
      </c>
    </row>
    <row r="45" spans="1:12" x14ac:dyDescent="0.2">
      <c r="A45" s="1295"/>
      <c r="B45" s="122" t="s">
        <v>1418</v>
      </c>
      <c r="C45" s="85">
        <v>50501073</v>
      </c>
      <c r="D45" s="85">
        <v>12000</v>
      </c>
      <c r="E45" s="86">
        <v>1</v>
      </c>
      <c r="F45" s="403">
        <v>55.3</v>
      </c>
      <c r="G45" s="52">
        <v>56.642000000000003</v>
      </c>
      <c r="H45" s="46">
        <f t="shared" ref="H45:H47" si="12">G45-F45</f>
        <v>1.3420000000000059</v>
      </c>
      <c r="I45" s="53"/>
      <c r="J45" s="53"/>
      <c r="K45" s="219">
        <f t="shared" ref="K45" si="13">(G45-F45)*D45*E45</f>
        <v>16104.000000000071</v>
      </c>
    </row>
    <row r="46" spans="1:12" ht="22.5" x14ac:dyDescent="0.2">
      <c r="A46" s="1295"/>
      <c r="B46" s="394" t="s">
        <v>1419</v>
      </c>
      <c r="C46" s="51"/>
      <c r="D46" s="51"/>
      <c r="E46" s="44"/>
      <c r="F46" s="423"/>
      <c r="G46" s="60"/>
      <c r="H46" s="46">
        <f t="shared" si="12"/>
        <v>0</v>
      </c>
      <c r="I46" s="53"/>
      <c r="J46" s="53"/>
      <c r="K46" s="958">
        <v>72525</v>
      </c>
    </row>
    <row r="47" spans="1:12" ht="22.5" x14ac:dyDescent="0.2">
      <c r="A47" s="1295"/>
      <c r="B47" s="394" t="s">
        <v>1420</v>
      </c>
      <c r="C47" s="51"/>
      <c r="D47" s="51"/>
      <c r="E47" s="44"/>
      <c r="F47" s="423"/>
      <c r="G47" s="60"/>
      <c r="H47" s="46">
        <f t="shared" si="12"/>
        <v>0</v>
      </c>
      <c r="I47" s="53"/>
      <c r="J47" s="53"/>
      <c r="K47" s="958">
        <v>4378</v>
      </c>
    </row>
    <row r="48" spans="1:12" s="8" customFormat="1" x14ac:dyDescent="0.2">
      <c r="A48" s="1295"/>
      <c r="B48" s="296" t="s">
        <v>46</v>
      </c>
      <c r="C48" s="62"/>
      <c r="D48" s="62"/>
      <c r="E48" s="63"/>
      <c r="F48" s="64"/>
      <c r="G48" s="64"/>
      <c r="H48" s="65"/>
      <c r="I48" s="66"/>
      <c r="J48" s="66"/>
      <c r="K48" s="1245">
        <f>K19-(K44-K45-K46-K47)</f>
        <v>27493001.702400856</v>
      </c>
      <c r="L48" s="897"/>
    </row>
    <row r="49" spans="1:14" x14ac:dyDescent="0.2">
      <c r="A49" s="1295"/>
      <c r="B49" s="92" t="s">
        <v>660</v>
      </c>
      <c r="C49" s="1317" t="s">
        <v>1106</v>
      </c>
      <c r="D49" s="78">
        <v>1440000</v>
      </c>
      <c r="E49" s="79">
        <v>1</v>
      </c>
      <c r="F49" s="521">
        <v>2777.5893999999998</v>
      </c>
      <c r="G49" s="521">
        <v>2804.7440000000001</v>
      </c>
      <c r="H49" s="81">
        <f>G49-F49</f>
        <v>27.1546000000003</v>
      </c>
      <c r="I49" s="57"/>
      <c r="J49" s="57"/>
      <c r="K49" s="198">
        <f>(G49-F49)*D49*E49</f>
        <v>39102624.000000432</v>
      </c>
      <c r="N49" s="365"/>
    </row>
    <row r="50" spans="1:14" x14ac:dyDescent="0.2">
      <c r="A50" s="1295"/>
      <c r="B50" s="92" t="s">
        <v>660</v>
      </c>
      <c r="C50" s="1318"/>
      <c r="D50" s="78">
        <v>1440000</v>
      </c>
      <c r="E50" s="79">
        <v>1</v>
      </c>
      <c r="F50" s="521">
        <v>3.1553</v>
      </c>
      <c r="G50" s="521">
        <v>3.1911999999999998</v>
      </c>
      <c r="H50" s="81">
        <f>G50-F50</f>
        <v>3.5899999999999821E-2</v>
      </c>
      <c r="I50" s="57"/>
      <c r="J50" s="57"/>
      <c r="K50" s="198">
        <f>(G50-F50)*D50*E50</f>
        <v>51695.999999999745</v>
      </c>
    </row>
    <row r="51" spans="1:14" x14ac:dyDescent="0.2">
      <c r="A51" s="1295"/>
      <c r="B51" s="223" t="s">
        <v>1198</v>
      </c>
      <c r="C51" s="421"/>
      <c r="D51" s="109"/>
      <c r="E51" s="110"/>
      <c r="F51" s="111"/>
      <c r="G51" s="111"/>
      <c r="H51" s="112"/>
      <c r="I51" s="66"/>
      <c r="J51" s="66"/>
      <c r="K51" s="1243">
        <f>K49-K50</f>
        <v>39050928.000000432</v>
      </c>
      <c r="L51" s="749">
        <v>1</v>
      </c>
    </row>
    <row r="52" spans="1:14" x14ac:dyDescent="0.2">
      <c r="A52" s="1295"/>
      <c r="B52" s="92" t="s">
        <v>592</v>
      </c>
      <c r="C52" s="78">
        <v>38172765</v>
      </c>
      <c r="D52" s="80">
        <v>360000</v>
      </c>
      <c r="E52" s="55">
        <v>1</v>
      </c>
      <c r="F52" s="521">
        <v>2824.4738000000002</v>
      </c>
      <c r="G52" s="521">
        <v>2840.6010999999999</v>
      </c>
      <c r="H52" s="81">
        <f>G52-F52</f>
        <v>16.12729999999965</v>
      </c>
      <c r="I52" s="81">
        <v>1.494</v>
      </c>
      <c r="J52" s="57"/>
      <c r="K52" s="198">
        <f>(G52-F52)*D52*E52</f>
        <v>5805827.9999998743</v>
      </c>
    </row>
    <row r="53" spans="1:14" x14ac:dyDescent="0.2">
      <c r="A53" s="1295"/>
      <c r="B53" s="92" t="s">
        <v>593</v>
      </c>
      <c r="C53" s="78"/>
      <c r="D53" s="80">
        <v>360000</v>
      </c>
      <c r="E53" s="55">
        <v>1</v>
      </c>
      <c r="F53" s="521">
        <v>3.8151999999999999</v>
      </c>
      <c r="G53" s="521">
        <v>3.8696999999999999</v>
      </c>
      <c r="H53" s="81">
        <f>G53-F53</f>
        <v>5.4499999999999993E-2</v>
      </c>
      <c r="I53" s="81">
        <v>0.38400000000000001</v>
      </c>
      <c r="J53" s="57"/>
      <c r="K53" s="198">
        <f>(G53-F53)*D53*E53</f>
        <v>19619.999999999996</v>
      </c>
    </row>
    <row r="54" spans="1:14" x14ac:dyDescent="0.2">
      <c r="A54" s="1295"/>
      <c r="B54" s="92" t="s">
        <v>594</v>
      </c>
      <c r="C54" s="78">
        <v>38172763</v>
      </c>
      <c r="D54" s="80">
        <v>360000</v>
      </c>
      <c r="E54" s="55">
        <v>1</v>
      </c>
      <c r="F54" s="521">
        <v>1706.5465999999999</v>
      </c>
      <c r="G54" s="521">
        <v>1716.095</v>
      </c>
      <c r="H54" s="81">
        <f>G54-F54</f>
        <v>9.5484000000001288</v>
      </c>
      <c r="I54" s="81">
        <v>1.3420000000000001</v>
      </c>
      <c r="J54" s="57"/>
      <c r="K54" s="198">
        <f>(G54-F54)*D54*E54</f>
        <v>3437424.0000000466</v>
      </c>
    </row>
    <row r="55" spans="1:14" x14ac:dyDescent="0.2">
      <c r="A55" s="1295"/>
      <c r="B55" s="92" t="s">
        <v>595</v>
      </c>
      <c r="C55" s="102"/>
      <c r="D55" s="80">
        <v>360000</v>
      </c>
      <c r="E55" s="55">
        <v>1</v>
      </c>
      <c r="F55" s="521">
        <v>4.4869000000000003</v>
      </c>
      <c r="G55" s="521">
        <v>4.5368000000000004</v>
      </c>
      <c r="H55" s="81">
        <f>G55-F55</f>
        <v>4.9900000000000055E-2</v>
      </c>
      <c r="I55" s="81">
        <v>0.89700000000000002</v>
      </c>
      <c r="J55" s="57"/>
      <c r="K55" s="198">
        <f>(G55-F55)*D55*E55</f>
        <v>17964.000000000018</v>
      </c>
    </row>
    <row r="56" spans="1:14" x14ac:dyDescent="0.2">
      <c r="A56" s="1295"/>
      <c r="B56" s="101" t="s">
        <v>408</v>
      </c>
      <c r="C56" s="102"/>
      <c r="D56" s="102"/>
      <c r="E56" s="55"/>
      <c r="F56" s="103"/>
      <c r="G56" s="103"/>
      <c r="H56" s="247"/>
      <c r="I56" s="57"/>
      <c r="J56" s="57"/>
      <c r="K56" s="202">
        <f>K52+K54</f>
        <v>9243251.9999999218</v>
      </c>
    </row>
    <row r="57" spans="1:14" x14ac:dyDescent="0.2">
      <c r="A57" s="1295"/>
      <c r="B57" s="101" t="s">
        <v>409</v>
      </c>
      <c r="C57" s="102"/>
      <c r="D57" s="102"/>
      <c r="E57" s="55"/>
      <c r="F57" s="103"/>
      <c r="G57" s="103"/>
      <c r="H57" s="247"/>
      <c r="I57" s="57"/>
      <c r="J57" s="57"/>
      <c r="K57" s="202">
        <f>K53+K55</f>
        <v>37584.000000000015</v>
      </c>
    </row>
    <row r="58" spans="1:14" x14ac:dyDescent="0.2">
      <c r="A58" s="1295"/>
      <c r="B58" s="223" t="s">
        <v>596</v>
      </c>
      <c r="C58" s="62"/>
      <c r="D58" s="62"/>
      <c r="E58" s="63"/>
      <c r="F58" s="64"/>
      <c r="G58" s="64"/>
      <c r="H58" s="65"/>
      <c r="I58" s="66"/>
      <c r="J58" s="66"/>
      <c r="K58" s="1243">
        <f>K56-K57</f>
        <v>9205667.9999999218</v>
      </c>
      <c r="L58" s="749">
        <v>2</v>
      </c>
    </row>
    <row r="59" spans="1:14" x14ac:dyDescent="0.2">
      <c r="A59" s="1295"/>
      <c r="B59" s="92" t="s">
        <v>1557</v>
      </c>
      <c r="C59" s="1299">
        <v>214127730</v>
      </c>
      <c r="D59" s="78">
        <v>480000</v>
      </c>
      <c r="E59" s="79">
        <v>1</v>
      </c>
      <c r="F59" s="521">
        <v>2560.6825199999998</v>
      </c>
      <c r="G59" s="521">
        <v>2585.5564599999998</v>
      </c>
      <c r="H59" s="81">
        <f t="shared" ref="H59:H66" si="14">G59-F59</f>
        <v>24.873939999999948</v>
      </c>
      <c r="I59" s="81"/>
      <c r="J59" s="81"/>
      <c r="K59" s="198">
        <f t="shared" ref="K59:K66" si="15">(G59-F59)*D59*E59</f>
        <v>11939491.199999975</v>
      </c>
    </row>
    <row r="60" spans="1:14" x14ac:dyDescent="0.2">
      <c r="A60" s="1295"/>
      <c r="B60" s="92" t="s">
        <v>1558</v>
      </c>
      <c r="C60" s="1300"/>
      <c r="D60" s="78">
        <v>480000</v>
      </c>
      <c r="E60" s="79">
        <v>1</v>
      </c>
      <c r="F60" s="521">
        <v>13.44068</v>
      </c>
      <c r="G60" s="521">
        <v>13.567110000000001</v>
      </c>
      <c r="H60" s="81">
        <f t="shared" si="14"/>
        <v>0.12643000000000093</v>
      </c>
      <c r="I60" s="81"/>
      <c r="J60" s="81"/>
      <c r="K60" s="198">
        <f t="shared" si="15"/>
        <v>60686.400000000445</v>
      </c>
    </row>
    <row r="61" spans="1:14" x14ac:dyDescent="0.2">
      <c r="A61" s="1295"/>
      <c r="B61" s="92" t="s">
        <v>1559</v>
      </c>
      <c r="C61" s="1299">
        <v>214127732</v>
      </c>
      <c r="D61" s="78">
        <v>480000</v>
      </c>
      <c r="E61" s="79">
        <v>1</v>
      </c>
      <c r="F61" s="521">
        <v>2385.6146200000003</v>
      </c>
      <c r="G61" s="521">
        <v>2412.1415699999998</v>
      </c>
      <c r="H61" s="81">
        <f t="shared" si="14"/>
        <v>26.526949999999488</v>
      </c>
      <c r="I61" s="81"/>
      <c r="J61" s="81"/>
      <c r="K61" s="198">
        <f t="shared" si="15"/>
        <v>12732935.999999754</v>
      </c>
    </row>
    <row r="62" spans="1:14" x14ac:dyDescent="0.2">
      <c r="A62" s="1295"/>
      <c r="B62" s="92" t="s">
        <v>1560</v>
      </c>
      <c r="C62" s="1300"/>
      <c r="D62" s="78">
        <v>480000</v>
      </c>
      <c r="E62" s="79">
        <v>1</v>
      </c>
      <c r="F62" s="521">
        <v>4.7101000000000006</v>
      </c>
      <c r="G62" s="521">
        <v>4.7662200000000006</v>
      </c>
      <c r="H62" s="81">
        <f t="shared" si="14"/>
        <v>5.6119999999999948E-2</v>
      </c>
      <c r="I62" s="81"/>
      <c r="J62" s="81"/>
      <c r="K62" s="198">
        <f t="shared" si="15"/>
        <v>26937.599999999977</v>
      </c>
    </row>
    <row r="63" spans="1:14" x14ac:dyDescent="0.2">
      <c r="A63" s="1295"/>
      <c r="B63" s="92" t="s">
        <v>1561</v>
      </c>
      <c r="C63" s="1299">
        <v>214127734</v>
      </c>
      <c r="D63" s="78">
        <v>480000</v>
      </c>
      <c r="E63" s="79">
        <v>1</v>
      </c>
      <c r="F63" s="521">
        <v>2781.36472</v>
      </c>
      <c r="G63" s="521">
        <v>2781.36472</v>
      </c>
      <c r="H63" s="81">
        <f t="shared" si="14"/>
        <v>0</v>
      </c>
      <c r="I63" s="81"/>
      <c r="J63" s="81"/>
      <c r="K63" s="198">
        <f t="shared" si="15"/>
        <v>0</v>
      </c>
    </row>
    <row r="64" spans="1:14" x14ac:dyDescent="0.2">
      <c r="A64" s="1295"/>
      <c r="B64" s="92" t="s">
        <v>1562</v>
      </c>
      <c r="C64" s="1300"/>
      <c r="D64" s="78">
        <v>480000</v>
      </c>
      <c r="E64" s="79">
        <v>1</v>
      </c>
      <c r="F64" s="521">
        <v>8.0317799999999995</v>
      </c>
      <c r="G64" s="521">
        <v>8.0317799999999995</v>
      </c>
      <c r="H64" s="81">
        <f t="shared" si="14"/>
        <v>0</v>
      </c>
      <c r="I64" s="81"/>
      <c r="J64" s="81"/>
      <c r="K64" s="198">
        <f t="shared" si="15"/>
        <v>0</v>
      </c>
    </row>
    <row r="65" spans="1:14" x14ac:dyDescent="0.2">
      <c r="A65" s="1295"/>
      <c r="B65" s="92" t="s">
        <v>1563</v>
      </c>
      <c r="C65" s="1299">
        <v>214127736</v>
      </c>
      <c r="D65" s="78">
        <v>480000</v>
      </c>
      <c r="E65" s="79">
        <v>1</v>
      </c>
      <c r="F65" s="521">
        <v>1665.63465</v>
      </c>
      <c r="G65" s="521">
        <v>1696.52648</v>
      </c>
      <c r="H65" s="81">
        <f t="shared" si="14"/>
        <v>30.891830000000027</v>
      </c>
      <c r="I65" s="81"/>
      <c r="J65" s="81"/>
      <c r="K65" s="198">
        <f t="shared" si="15"/>
        <v>14828078.400000013</v>
      </c>
    </row>
    <row r="66" spans="1:14" x14ac:dyDescent="0.2">
      <c r="A66" s="1295"/>
      <c r="B66" s="92" t="s">
        <v>1564</v>
      </c>
      <c r="C66" s="1300"/>
      <c r="D66" s="78">
        <v>480000</v>
      </c>
      <c r="E66" s="79">
        <v>1</v>
      </c>
      <c r="F66" s="521">
        <v>4.2236499999999992</v>
      </c>
      <c r="G66" s="521">
        <v>4.2562899999999999</v>
      </c>
      <c r="H66" s="81">
        <f t="shared" si="14"/>
        <v>3.2640000000000668E-2</v>
      </c>
      <c r="I66" s="81"/>
      <c r="J66" s="81"/>
      <c r="K66" s="198">
        <f t="shared" si="15"/>
        <v>15667.200000000321</v>
      </c>
    </row>
    <row r="67" spans="1:14" x14ac:dyDescent="0.2">
      <c r="A67" s="1295"/>
      <c r="B67" s="92" t="s">
        <v>436</v>
      </c>
      <c r="C67" s="78"/>
      <c r="D67" s="78"/>
      <c r="E67" s="79"/>
      <c r="F67" s="80"/>
      <c r="G67" s="80"/>
      <c r="H67" s="81"/>
      <c r="I67" s="81"/>
      <c r="J67" s="81"/>
      <c r="K67" s="1244">
        <f>K59+K61+K63+K65</f>
        <v>39500505.599999741</v>
      </c>
    </row>
    <row r="68" spans="1:14" x14ac:dyDescent="0.2">
      <c r="A68" s="1295"/>
      <c r="B68" s="92" t="s">
        <v>437</v>
      </c>
      <c r="C68" s="78"/>
      <c r="D68" s="78"/>
      <c r="E68" s="79"/>
      <c r="F68" s="403"/>
      <c r="G68" s="80"/>
      <c r="H68" s="81"/>
      <c r="I68" s="81"/>
      <c r="J68" s="81"/>
      <c r="K68" s="202">
        <f>K60+K62+K64+K66</f>
        <v>103291.20000000074</v>
      </c>
    </row>
    <row r="69" spans="1:14" s="20" customFormat="1" x14ac:dyDescent="0.2">
      <c r="A69" s="1295"/>
      <c r="B69" s="223" t="s">
        <v>1565</v>
      </c>
      <c r="C69" s="62"/>
      <c r="D69" s="62"/>
      <c r="E69" s="63"/>
      <c r="F69" s="64"/>
      <c r="G69" s="64"/>
      <c r="H69" s="65"/>
      <c r="I69" s="66"/>
      <c r="J69" s="66"/>
      <c r="K69" s="1243">
        <f>K67-K68</f>
        <v>39397214.399999738</v>
      </c>
      <c r="L69" s="926">
        <v>3</v>
      </c>
    </row>
    <row r="70" spans="1:14" x14ac:dyDescent="0.2">
      <c r="A70" s="1295"/>
      <c r="B70" s="92" t="s">
        <v>1601</v>
      </c>
      <c r="C70" s="1299">
        <v>12861166</v>
      </c>
      <c r="D70" s="78">
        <v>1200000</v>
      </c>
      <c r="E70" s="79">
        <v>1</v>
      </c>
      <c r="F70" s="735">
        <v>1880.9510499999999</v>
      </c>
      <c r="G70" s="735">
        <v>1880.9510499999999</v>
      </c>
      <c r="H70" s="81">
        <f t="shared" ref="H70:H73" si="16">G70-F70</f>
        <v>0</v>
      </c>
      <c r="I70" s="57"/>
      <c r="J70" s="57"/>
      <c r="K70" s="198">
        <f t="shared" ref="K70:K73" si="17">(G70-F70)*D70*E70</f>
        <v>0</v>
      </c>
    </row>
    <row r="71" spans="1:14" x14ac:dyDescent="0.2">
      <c r="A71" s="1295"/>
      <c r="B71" s="92" t="s">
        <v>1602</v>
      </c>
      <c r="C71" s="1300"/>
      <c r="D71" s="78">
        <v>1200000</v>
      </c>
      <c r="E71" s="79">
        <v>1</v>
      </c>
      <c r="F71" s="735">
        <v>3.3575249999999999</v>
      </c>
      <c r="G71" s="735">
        <v>3.3575249999999999</v>
      </c>
      <c r="H71" s="81">
        <f t="shared" si="16"/>
        <v>0</v>
      </c>
      <c r="I71" s="57"/>
      <c r="J71" s="57"/>
      <c r="K71" s="198">
        <f t="shared" si="17"/>
        <v>0</v>
      </c>
    </row>
    <row r="72" spans="1:14" x14ac:dyDescent="0.2">
      <c r="A72" s="1295"/>
      <c r="B72" s="92" t="s">
        <v>1601</v>
      </c>
      <c r="C72" s="1299">
        <v>38278877</v>
      </c>
      <c r="D72" s="78">
        <v>1200000</v>
      </c>
      <c r="E72" s="79">
        <v>1</v>
      </c>
      <c r="F72" s="735">
        <v>135.3802</v>
      </c>
      <c r="G72" s="735">
        <v>173.2398</v>
      </c>
      <c r="H72" s="81">
        <f t="shared" si="16"/>
        <v>37.8596</v>
      </c>
      <c r="I72" s="57"/>
      <c r="J72" s="57"/>
      <c r="K72" s="198">
        <f t="shared" si="17"/>
        <v>45431520</v>
      </c>
    </row>
    <row r="73" spans="1:14" x14ac:dyDescent="0.2">
      <c r="A73" s="1295"/>
      <c r="B73" s="92" t="s">
        <v>1602</v>
      </c>
      <c r="C73" s="1300"/>
      <c r="D73" s="78">
        <v>1200000</v>
      </c>
      <c r="E73" s="79">
        <v>1</v>
      </c>
      <c r="F73" s="735">
        <v>8.7499999999999994E-2</v>
      </c>
      <c r="G73" s="735">
        <v>0.1134</v>
      </c>
      <c r="H73" s="81">
        <f t="shared" si="16"/>
        <v>2.5900000000000006E-2</v>
      </c>
      <c r="I73" s="57"/>
      <c r="J73" s="57"/>
      <c r="K73" s="198">
        <f t="shared" si="17"/>
        <v>31080.000000000007</v>
      </c>
    </row>
    <row r="74" spans="1:14" s="20" customFormat="1" x14ac:dyDescent="0.2">
      <c r="A74" s="1295"/>
      <c r="B74" s="223" t="s">
        <v>1603</v>
      </c>
      <c r="C74" s="62"/>
      <c r="D74" s="62"/>
      <c r="E74" s="63"/>
      <c r="F74" s="64"/>
      <c r="G74" s="64"/>
      <c r="H74" s="65"/>
      <c r="I74" s="66"/>
      <c r="J74" s="66"/>
      <c r="K74" s="1245">
        <f>K70+K72-K71-K73</f>
        <v>45400440</v>
      </c>
      <c r="L74" s="926">
        <v>4</v>
      </c>
    </row>
    <row r="75" spans="1:14" x14ac:dyDescent="0.2">
      <c r="A75" s="1295"/>
      <c r="B75" s="92" t="s">
        <v>509</v>
      </c>
      <c r="C75" s="78" t="s">
        <v>468</v>
      </c>
      <c r="D75" s="78">
        <v>300000</v>
      </c>
      <c r="E75" s="79">
        <v>1</v>
      </c>
      <c r="F75" s="521">
        <v>4073.1236600000002</v>
      </c>
      <c r="G75" s="521">
        <v>4090.7906979999998</v>
      </c>
      <c r="H75" s="81">
        <f>G75-F75</f>
        <v>17.667037999999593</v>
      </c>
      <c r="I75" s="81"/>
      <c r="J75" s="81"/>
      <c r="K75" s="198">
        <f>(G75-F75)*D75*E75</f>
        <v>5300111.3999998774</v>
      </c>
    </row>
    <row r="76" spans="1:14" x14ac:dyDescent="0.2">
      <c r="A76" s="1295"/>
      <c r="B76" s="92" t="s">
        <v>510</v>
      </c>
      <c r="C76" s="78"/>
      <c r="D76" s="78">
        <v>300000</v>
      </c>
      <c r="E76" s="79">
        <v>1</v>
      </c>
      <c r="F76" s="521">
        <v>7.4210719999999997</v>
      </c>
      <c r="G76" s="521">
        <v>7.495654</v>
      </c>
      <c r="H76" s="81">
        <f>G76-F76</f>
        <v>7.458200000000037E-2</v>
      </c>
      <c r="I76" s="81"/>
      <c r="J76" s="81"/>
      <c r="K76" s="198">
        <f>(G76-F76)*D76*E76</f>
        <v>22374.600000000111</v>
      </c>
    </row>
    <row r="77" spans="1:14" x14ac:dyDescent="0.2">
      <c r="A77" s="1295"/>
      <c r="B77" s="92" t="s">
        <v>511</v>
      </c>
      <c r="C77" s="78" t="s">
        <v>469</v>
      </c>
      <c r="D77" s="78">
        <v>300000</v>
      </c>
      <c r="E77" s="79">
        <v>1</v>
      </c>
      <c r="F77" s="521">
        <v>2286.329358</v>
      </c>
      <c r="G77" s="521">
        <v>2301.9650139999999</v>
      </c>
      <c r="H77" s="81">
        <f>G77-F77</f>
        <v>15.635655999999926</v>
      </c>
      <c r="I77" s="81"/>
      <c r="J77" s="81"/>
      <c r="K77" s="198">
        <f>(G77-F77)*D77*E77</f>
        <v>4690696.7999999775</v>
      </c>
      <c r="N77" s="365" t="s">
        <v>1329</v>
      </c>
    </row>
    <row r="78" spans="1:14" x14ac:dyDescent="0.2">
      <c r="A78" s="1295"/>
      <c r="B78" s="92" t="s">
        <v>512</v>
      </c>
      <c r="C78" s="78"/>
      <c r="D78" s="78">
        <v>300000</v>
      </c>
      <c r="E78" s="79">
        <v>1</v>
      </c>
      <c r="F78" s="521">
        <v>5.3860729999999997</v>
      </c>
      <c r="G78" s="521">
        <v>5.4886210000000002</v>
      </c>
      <c r="H78" s="81">
        <f>G78-F78</f>
        <v>0.10254800000000053</v>
      </c>
      <c r="I78" s="81"/>
      <c r="J78" s="81"/>
      <c r="K78" s="198">
        <f>(G78-F78)*D78*E78</f>
        <v>30764.400000000158</v>
      </c>
    </row>
    <row r="79" spans="1:14" x14ac:dyDescent="0.2">
      <c r="A79" s="1295"/>
      <c r="B79" s="101" t="s">
        <v>367</v>
      </c>
      <c r="C79" s="102"/>
      <c r="D79" s="102"/>
      <c r="E79" s="55"/>
      <c r="F79" s="423"/>
      <c r="G79" s="103"/>
      <c r="H79" s="247"/>
      <c r="I79" s="57"/>
      <c r="J79" s="57"/>
      <c r="K79" s="202">
        <f>K75+K77</f>
        <v>9990808.199999854</v>
      </c>
    </row>
    <row r="80" spans="1:14" x14ac:dyDescent="0.2">
      <c r="A80" s="1295"/>
      <c r="B80" s="101" t="s">
        <v>368</v>
      </c>
      <c r="C80" s="102"/>
      <c r="D80" s="102"/>
      <c r="E80" s="55"/>
      <c r="F80" s="423"/>
      <c r="G80" s="103"/>
      <c r="H80" s="247"/>
      <c r="I80" s="57"/>
      <c r="J80" s="57"/>
      <c r="K80" s="202">
        <f>K76+K78</f>
        <v>53139.000000000269</v>
      </c>
    </row>
    <row r="81" spans="1:12" x14ac:dyDescent="0.2">
      <c r="A81" s="1295"/>
      <c r="B81" s="223" t="s">
        <v>514</v>
      </c>
      <c r="C81" s="62"/>
      <c r="D81" s="62"/>
      <c r="E81" s="63"/>
      <c r="F81" s="64"/>
      <c r="G81" s="64"/>
      <c r="H81" s="65"/>
      <c r="I81" s="66"/>
      <c r="J81" s="66"/>
      <c r="K81" s="1243">
        <f>K79-K80</f>
        <v>9937669.199999854</v>
      </c>
      <c r="L81" s="749">
        <v>5</v>
      </c>
    </row>
    <row r="82" spans="1:12" x14ac:dyDescent="0.2">
      <c r="A82" s="1295"/>
      <c r="B82" s="92" t="s">
        <v>505</v>
      </c>
      <c r="C82" s="1299" t="s">
        <v>1593</v>
      </c>
      <c r="D82" s="78">
        <v>300000</v>
      </c>
      <c r="E82" s="79">
        <v>1</v>
      </c>
      <c r="F82" s="521">
        <v>337.15869131099998</v>
      </c>
      <c r="G82" s="521">
        <v>344.90692180299999</v>
      </c>
      <c r="H82" s="81">
        <f>G82-F82</f>
        <v>7.7482304920000047</v>
      </c>
      <c r="I82" s="81"/>
      <c r="J82" s="81"/>
      <c r="K82" s="198">
        <f>(G82-F82)*D82*E82</f>
        <v>2324469.1476000012</v>
      </c>
    </row>
    <row r="83" spans="1:12" x14ac:dyDescent="0.2">
      <c r="A83" s="1295"/>
      <c r="B83" s="92" t="s">
        <v>506</v>
      </c>
      <c r="C83" s="1300"/>
      <c r="D83" s="78">
        <v>300000</v>
      </c>
      <c r="E83" s="79">
        <v>1</v>
      </c>
      <c r="F83" s="521">
        <v>1.382359662</v>
      </c>
      <c r="G83" s="521">
        <v>1.4886562619999999</v>
      </c>
      <c r="H83" s="81">
        <f>G83-F83</f>
        <v>0.10629659999999985</v>
      </c>
      <c r="I83" s="81"/>
      <c r="J83" s="81"/>
      <c r="K83" s="198">
        <f>(G83-F83)*D83*E83</f>
        <v>31888.979999999956</v>
      </c>
    </row>
    <row r="84" spans="1:12" x14ac:dyDescent="0.2">
      <c r="A84" s="1295"/>
      <c r="B84" s="92" t="s">
        <v>507</v>
      </c>
      <c r="C84" s="1299" t="s">
        <v>470</v>
      </c>
      <c r="D84" s="78">
        <v>300000</v>
      </c>
      <c r="E84" s="79">
        <v>1</v>
      </c>
      <c r="F84" s="521">
        <v>2279.5044269999999</v>
      </c>
      <c r="G84" s="521">
        <v>2286.7950810000002</v>
      </c>
      <c r="H84" s="81">
        <f>G84-F84</f>
        <v>7.2906540000003588</v>
      </c>
      <c r="I84" s="81"/>
      <c r="J84" s="81"/>
      <c r="K84" s="198">
        <f>(G84-F84)*D84*E84</f>
        <v>2187196.2000001078</v>
      </c>
    </row>
    <row r="85" spans="1:12" x14ac:dyDescent="0.2">
      <c r="A85" s="1295"/>
      <c r="B85" s="92" t="s">
        <v>508</v>
      </c>
      <c r="C85" s="1300"/>
      <c r="D85" s="78">
        <v>300000</v>
      </c>
      <c r="E85" s="79">
        <v>1</v>
      </c>
      <c r="F85" s="521">
        <v>5.3389139999999999</v>
      </c>
      <c r="G85" s="521">
        <v>5.4195679999999999</v>
      </c>
      <c r="H85" s="81">
        <f>G85-F85</f>
        <v>8.0654000000000003E-2</v>
      </c>
      <c r="I85" s="81"/>
      <c r="J85" s="81"/>
      <c r="K85" s="198">
        <f>(G85-F85)*D85*E85</f>
        <v>24196.2</v>
      </c>
    </row>
    <row r="86" spans="1:12" x14ac:dyDescent="0.2">
      <c r="A86" s="1295"/>
      <c r="B86" s="92" t="s">
        <v>367</v>
      </c>
      <c r="C86" s="102"/>
      <c r="D86" s="102"/>
      <c r="E86" s="55"/>
      <c r="F86" s="103"/>
      <c r="G86" s="103"/>
      <c r="H86" s="247"/>
      <c r="I86" s="57"/>
      <c r="J86" s="57"/>
      <c r="K86" s="202">
        <f>K82+K84</f>
        <v>4511665.3476001089</v>
      </c>
    </row>
    <row r="87" spans="1:12" x14ac:dyDescent="0.2">
      <c r="A87" s="1295"/>
      <c r="B87" s="92" t="s">
        <v>368</v>
      </c>
      <c r="C87" s="102"/>
      <c r="D87" s="102"/>
      <c r="E87" s="55"/>
      <c r="F87" s="103"/>
      <c r="G87" s="103"/>
      <c r="H87" s="247"/>
      <c r="I87" s="57"/>
      <c r="J87" s="57"/>
      <c r="K87" s="202">
        <f>K83+K85</f>
        <v>56085.179999999957</v>
      </c>
    </row>
    <row r="88" spans="1:12" x14ac:dyDescent="0.2">
      <c r="A88" s="1295"/>
      <c r="B88" s="223" t="s">
        <v>513</v>
      </c>
      <c r="C88" s="62"/>
      <c r="D88" s="62"/>
      <c r="E88" s="63"/>
      <c r="F88" s="64"/>
      <c r="G88" s="64"/>
      <c r="H88" s="65"/>
      <c r="I88" s="66"/>
      <c r="J88" s="66"/>
      <c r="K88" s="1245">
        <f>K86-K87</f>
        <v>4455580.1676001092</v>
      </c>
      <c r="L88" s="749">
        <v>6</v>
      </c>
    </row>
    <row r="89" spans="1:12" x14ac:dyDescent="0.2">
      <c r="A89" s="1295"/>
      <c r="B89" s="92" t="s">
        <v>377</v>
      </c>
      <c r="C89" s="1299">
        <v>16529653</v>
      </c>
      <c r="D89" s="78">
        <v>144000</v>
      </c>
      <c r="E89" s="79">
        <v>1</v>
      </c>
      <c r="F89" s="80">
        <v>17197.410899999999</v>
      </c>
      <c r="G89" s="80">
        <v>17197.410899999999</v>
      </c>
      <c r="H89" s="81">
        <f>G89-F89</f>
        <v>0</v>
      </c>
      <c r="I89" s="81"/>
      <c r="J89" s="81"/>
      <c r="K89" s="198">
        <f>(G89-F89)*D89*E89</f>
        <v>0</v>
      </c>
    </row>
    <row r="90" spans="1:12" x14ac:dyDescent="0.2">
      <c r="A90" s="1295"/>
      <c r="B90" s="92" t="s">
        <v>378</v>
      </c>
      <c r="C90" s="1300"/>
      <c r="D90" s="78">
        <v>144000</v>
      </c>
      <c r="E90" s="79">
        <v>1</v>
      </c>
      <c r="F90" s="80">
        <v>14.577375</v>
      </c>
      <c r="G90" s="80">
        <v>14.577375</v>
      </c>
      <c r="H90" s="81">
        <f>G90-F90</f>
        <v>0</v>
      </c>
      <c r="I90" s="81"/>
      <c r="J90" s="81"/>
      <c r="K90" s="198">
        <f>(G90-F90)*D90*E90</f>
        <v>0</v>
      </c>
    </row>
    <row r="91" spans="1:12" x14ac:dyDescent="0.2">
      <c r="A91" s="1295"/>
      <c r="B91" s="92" t="s">
        <v>1277</v>
      </c>
      <c r="C91" s="400">
        <v>1351519</v>
      </c>
      <c r="D91" s="78">
        <v>144000</v>
      </c>
      <c r="E91" s="79">
        <v>1</v>
      </c>
      <c r="F91" s="521">
        <v>8139.582625</v>
      </c>
      <c r="G91" s="521">
        <v>8146.4186</v>
      </c>
      <c r="H91" s="81">
        <f>G91-F91</f>
        <v>6.8359749999999622</v>
      </c>
      <c r="I91" s="81"/>
      <c r="J91" s="81"/>
      <c r="K91" s="198">
        <f>(G91-F91)*D91*E91</f>
        <v>984380.39999999455</v>
      </c>
    </row>
    <row r="92" spans="1:12" x14ac:dyDescent="0.2">
      <c r="A92" s="1295"/>
      <c r="B92" s="92" t="s">
        <v>378</v>
      </c>
      <c r="C92" s="400">
        <v>1351519</v>
      </c>
      <c r="D92" s="78">
        <v>144000</v>
      </c>
      <c r="E92" s="79">
        <v>1</v>
      </c>
      <c r="F92" s="521">
        <v>15.300649999999999</v>
      </c>
      <c r="G92" s="521">
        <v>16.092849999999999</v>
      </c>
      <c r="H92" s="81">
        <f>G92-F92</f>
        <v>0.79219999999999935</v>
      </c>
      <c r="I92" s="81"/>
      <c r="J92" s="81"/>
      <c r="K92" s="198">
        <f>(G92-F92)*D92*E92</f>
        <v>114076.7999999999</v>
      </c>
    </row>
    <row r="93" spans="1:12" s="4" customFormat="1" x14ac:dyDescent="0.2">
      <c r="A93" s="1295"/>
      <c r="B93" s="71" t="s">
        <v>1556</v>
      </c>
      <c r="C93" s="62"/>
      <c r="D93" s="62"/>
      <c r="E93" s="63"/>
      <c r="F93" s="64"/>
      <c r="G93" s="64"/>
      <c r="H93" s="65"/>
      <c r="I93" s="66"/>
      <c r="J93" s="66"/>
      <c r="K93" s="1245">
        <f>K89+K91-K90-K92</f>
        <v>870303.59999999462</v>
      </c>
      <c r="L93" s="896">
        <v>7</v>
      </c>
    </row>
    <row r="94" spans="1:12" ht="13.5" customHeight="1" x14ac:dyDescent="0.2">
      <c r="A94" s="1295"/>
      <c r="B94" s="106" t="s">
        <v>87</v>
      </c>
      <c r="C94" s="85">
        <v>12393383</v>
      </c>
      <c r="D94" s="85">
        <v>960000</v>
      </c>
      <c r="E94" s="86">
        <v>1</v>
      </c>
      <c r="F94" s="52">
        <v>932.50846000000001</v>
      </c>
      <c r="G94" s="52">
        <v>932.50846000000001</v>
      </c>
      <c r="H94" s="87">
        <f>G94-F94</f>
        <v>0</v>
      </c>
      <c r="I94" s="87"/>
      <c r="J94" s="87"/>
      <c r="K94" s="200">
        <f>(G94-F94)*D94*E94</f>
        <v>0</v>
      </c>
    </row>
    <row r="95" spans="1:12" ht="13.5" customHeight="1" x14ac:dyDescent="0.2">
      <c r="A95" s="1295"/>
      <c r="B95" s="106" t="s">
        <v>88</v>
      </c>
      <c r="C95" s="85">
        <v>12393383</v>
      </c>
      <c r="D95" s="85">
        <v>960000</v>
      </c>
      <c r="E95" s="86">
        <v>1</v>
      </c>
      <c r="F95" s="52">
        <v>1.2319999999999999E-2</v>
      </c>
      <c r="G95" s="52">
        <v>1.2319999999999999E-2</v>
      </c>
      <c r="H95" s="87">
        <f>G95-F95</f>
        <v>0</v>
      </c>
      <c r="I95" s="87"/>
      <c r="J95" s="87"/>
      <c r="K95" s="200">
        <f>(G95-F95)*D95*E95</f>
        <v>0</v>
      </c>
    </row>
    <row r="96" spans="1:12" ht="13.5" customHeight="1" x14ac:dyDescent="0.2">
      <c r="A96" s="1295"/>
      <c r="B96" s="106" t="s">
        <v>87</v>
      </c>
      <c r="C96" s="85">
        <v>215574453</v>
      </c>
      <c r="D96" s="85">
        <v>960000</v>
      </c>
      <c r="E96" s="86">
        <v>1</v>
      </c>
      <c r="F96" s="521">
        <v>2556.63904</v>
      </c>
      <c r="G96" s="521">
        <v>2556.63904</v>
      </c>
      <c r="H96" s="87">
        <f>G96-F96</f>
        <v>0</v>
      </c>
      <c r="I96" s="87"/>
      <c r="J96" s="87"/>
      <c r="K96" s="200">
        <f>(G96-F96)*D96*E96</f>
        <v>0</v>
      </c>
    </row>
    <row r="97" spans="1:12" ht="13.5" customHeight="1" x14ac:dyDescent="0.2">
      <c r="A97" s="1295"/>
      <c r="B97" s="106" t="s">
        <v>88</v>
      </c>
      <c r="C97" s="85">
        <v>215574453</v>
      </c>
      <c r="D97" s="85">
        <v>960000</v>
      </c>
      <c r="E97" s="86">
        <v>1</v>
      </c>
      <c r="F97" s="521">
        <v>5.93201</v>
      </c>
      <c r="G97" s="521">
        <v>5.9818699999999998</v>
      </c>
      <c r="H97" s="87">
        <f>G97-F97</f>
        <v>4.9859999999999793E-2</v>
      </c>
      <c r="I97" s="87"/>
      <c r="J97" s="87"/>
      <c r="K97" s="200">
        <f>(G97-F97)*D97*E97</f>
        <v>47865.599999999802</v>
      </c>
    </row>
    <row r="98" spans="1:12" ht="13.5" customHeight="1" x14ac:dyDescent="0.2">
      <c r="A98" s="1295"/>
      <c r="B98" s="107" t="s">
        <v>450</v>
      </c>
      <c r="C98" s="85"/>
      <c r="D98" s="85"/>
      <c r="E98" s="86"/>
      <c r="F98" s="52"/>
      <c r="G98" s="52"/>
      <c r="H98" s="87"/>
      <c r="I98" s="87"/>
      <c r="J98" s="87"/>
      <c r="K98" s="195">
        <f>K94+K96</f>
        <v>0</v>
      </c>
    </row>
    <row r="99" spans="1:12" ht="13.5" customHeight="1" x14ac:dyDescent="0.2">
      <c r="A99" s="1295"/>
      <c r="B99" s="107" t="s">
        <v>451</v>
      </c>
      <c r="C99" s="85"/>
      <c r="D99" s="85"/>
      <c r="E99" s="86"/>
      <c r="F99" s="52"/>
      <c r="G99" s="52"/>
      <c r="H99" s="87"/>
      <c r="I99" s="87"/>
      <c r="J99" s="87"/>
      <c r="K99" s="195">
        <f>K95+K97</f>
        <v>47865.599999999802</v>
      </c>
    </row>
    <row r="100" spans="1:12" s="4" customFormat="1" x14ac:dyDescent="0.2">
      <c r="A100" s="1295"/>
      <c r="B100" s="71" t="s">
        <v>89</v>
      </c>
      <c r="C100" s="62"/>
      <c r="D100" s="62"/>
      <c r="E100" s="89"/>
      <c r="F100" s="64"/>
      <c r="G100" s="64"/>
      <c r="H100" s="90"/>
      <c r="I100" s="90"/>
      <c r="J100" s="90"/>
      <c r="K100" s="1245">
        <f>K98-K99</f>
        <v>-47865.599999999802</v>
      </c>
      <c r="L100" s="896">
        <v>8</v>
      </c>
    </row>
    <row r="101" spans="1:12" x14ac:dyDescent="0.2">
      <c r="A101" s="1295"/>
      <c r="B101" s="77" t="s">
        <v>54</v>
      </c>
      <c r="C101" s="78">
        <v>2128010</v>
      </c>
      <c r="D101" s="78">
        <v>1000</v>
      </c>
      <c r="E101" s="79">
        <v>1</v>
      </c>
      <c r="F101" s="521">
        <v>11609460.699999999</v>
      </c>
      <c r="G101" s="521">
        <v>11609460.699999999</v>
      </c>
      <c r="H101" s="87">
        <f>G101-F101</f>
        <v>0</v>
      </c>
      <c r="I101" s="87"/>
      <c r="J101" s="87"/>
      <c r="K101" s="200">
        <f>(G101-F101)*D101*E101</f>
        <v>0</v>
      </c>
    </row>
    <row r="102" spans="1:12" x14ac:dyDescent="0.2">
      <c r="A102" s="1295"/>
      <c r="B102" s="77" t="s">
        <v>55</v>
      </c>
      <c r="C102" s="78">
        <v>2003504</v>
      </c>
      <c r="D102" s="78">
        <v>1000</v>
      </c>
      <c r="E102" s="79">
        <v>1</v>
      </c>
      <c r="F102" s="521">
        <v>6140816.4400000004</v>
      </c>
      <c r="G102" s="521">
        <v>6140816.4400000004</v>
      </c>
      <c r="H102" s="87">
        <f>G102-F102</f>
        <v>0</v>
      </c>
      <c r="I102" s="87"/>
      <c r="J102" s="87"/>
      <c r="K102" s="200">
        <f>(G102-F102)*D102*E102</f>
        <v>0</v>
      </c>
    </row>
    <row r="103" spans="1:12" x14ac:dyDescent="0.2">
      <c r="A103" s="1295"/>
      <c r="B103" s="1357" t="s">
        <v>8</v>
      </c>
      <c r="C103" s="1358"/>
      <c r="D103" s="1358"/>
      <c r="E103" s="1359"/>
      <c r="F103" s="52"/>
      <c r="G103" s="52"/>
      <c r="H103" s="87"/>
      <c r="I103" s="87"/>
      <c r="J103" s="87"/>
      <c r="K103" s="200">
        <f>K101+K102</f>
        <v>0</v>
      </c>
    </row>
    <row r="104" spans="1:12" x14ac:dyDescent="0.2">
      <c r="A104" s="1295"/>
      <c r="B104" s="271" t="s">
        <v>722</v>
      </c>
      <c r="C104" s="78">
        <v>2128010</v>
      </c>
      <c r="D104" s="78">
        <v>1000</v>
      </c>
      <c r="E104" s="79">
        <v>1</v>
      </c>
      <c r="F104" s="521">
        <v>10525.9</v>
      </c>
      <c r="G104" s="521">
        <v>10525.9</v>
      </c>
      <c r="H104" s="87">
        <f>G104-F104</f>
        <v>0</v>
      </c>
      <c r="I104" s="87"/>
      <c r="J104" s="87"/>
      <c r="K104" s="200">
        <f>(G104-F104)*D104*E104</f>
        <v>0</v>
      </c>
    </row>
    <row r="105" spans="1:12" x14ac:dyDescent="0.2">
      <c r="A105" s="1295"/>
      <c r="B105" s="271" t="s">
        <v>723</v>
      </c>
      <c r="C105" s="78">
        <v>2003504</v>
      </c>
      <c r="D105" s="78">
        <v>1000</v>
      </c>
      <c r="E105" s="79">
        <v>1</v>
      </c>
      <c r="F105" s="521">
        <v>2.79</v>
      </c>
      <c r="G105" s="521">
        <v>2.79</v>
      </c>
      <c r="H105" s="87">
        <f>G105-F105</f>
        <v>0</v>
      </c>
      <c r="I105" s="87"/>
      <c r="J105" s="87"/>
      <c r="K105" s="200">
        <f>(G105-F105)*D105*E105</f>
        <v>0</v>
      </c>
    </row>
    <row r="106" spans="1:12" x14ac:dyDescent="0.2">
      <c r="A106" s="1295"/>
      <c r="B106" s="270" t="s">
        <v>52</v>
      </c>
      <c r="C106" s="85"/>
      <c r="D106" s="85"/>
      <c r="E106" s="86"/>
      <c r="F106" s="52"/>
      <c r="G106" s="52"/>
      <c r="H106" s="87"/>
      <c r="I106" s="87"/>
      <c r="J106" s="87"/>
      <c r="K106" s="200">
        <f>K104+K105</f>
        <v>0</v>
      </c>
    </row>
    <row r="107" spans="1:12" x14ac:dyDescent="0.2">
      <c r="A107" s="1295"/>
      <c r="B107" s="88" t="s">
        <v>367</v>
      </c>
      <c r="C107" s="85"/>
      <c r="D107" s="85"/>
      <c r="E107" s="86"/>
      <c r="F107" s="52"/>
      <c r="G107" s="52"/>
      <c r="H107" s="87"/>
      <c r="I107" s="87"/>
      <c r="J107" s="87"/>
      <c r="K107" s="195">
        <f>K103</f>
        <v>0</v>
      </c>
    </row>
    <row r="108" spans="1:12" x14ac:dyDescent="0.2">
      <c r="A108" s="1295"/>
      <c r="B108" s="88" t="s">
        <v>368</v>
      </c>
      <c r="C108" s="85"/>
      <c r="D108" s="85"/>
      <c r="E108" s="86"/>
      <c r="F108" s="52"/>
      <c r="G108" s="52"/>
      <c r="H108" s="87"/>
      <c r="I108" s="87"/>
      <c r="J108" s="87"/>
      <c r="K108" s="195">
        <f>K106</f>
        <v>0</v>
      </c>
    </row>
    <row r="109" spans="1:12" s="4" customFormat="1" x14ac:dyDescent="0.2">
      <c r="A109" s="1295"/>
      <c r="B109" s="71" t="s">
        <v>56</v>
      </c>
      <c r="C109" s="62"/>
      <c r="D109" s="62"/>
      <c r="E109" s="89"/>
      <c r="F109" s="64"/>
      <c r="G109" s="64"/>
      <c r="H109" s="65"/>
      <c r="I109" s="90"/>
      <c r="J109" s="90"/>
      <c r="K109" s="1245">
        <f>K107-K108</f>
        <v>0</v>
      </c>
      <c r="L109" s="896">
        <v>9</v>
      </c>
    </row>
    <row r="110" spans="1:12" x14ac:dyDescent="0.2">
      <c r="A110" s="1295"/>
      <c r="B110" s="77" t="s">
        <v>329</v>
      </c>
      <c r="C110" s="78" t="s">
        <v>333</v>
      </c>
      <c r="D110" s="95">
        <v>1000</v>
      </c>
      <c r="E110" s="79">
        <v>1</v>
      </c>
      <c r="F110" s="1040">
        <v>18572060</v>
      </c>
      <c r="G110" s="1040">
        <v>18572060</v>
      </c>
      <c r="H110" s="96">
        <f>G110-F110</f>
        <v>0</v>
      </c>
      <c r="I110" s="96">
        <v>19873.439999999999</v>
      </c>
      <c r="J110" s="96">
        <v>19873.439999999999</v>
      </c>
      <c r="K110" s="198">
        <f>H110*D110*E110</f>
        <v>0</v>
      </c>
    </row>
    <row r="111" spans="1:12" x14ac:dyDescent="0.2">
      <c r="A111" s="1295"/>
      <c r="B111" s="77" t="s">
        <v>330</v>
      </c>
      <c r="C111" s="78" t="s">
        <v>333</v>
      </c>
      <c r="D111" s="95">
        <v>1000</v>
      </c>
      <c r="E111" s="79">
        <v>1</v>
      </c>
      <c r="F111" s="80">
        <v>36092.588000000003</v>
      </c>
      <c r="G111" s="80">
        <v>36092.588000000003</v>
      </c>
      <c r="H111" s="96">
        <f>G111-F111</f>
        <v>0</v>
      </c>
      <c r="I111" s="81">
        <v>20330.900000000001</v>
      </c>
      <c r="J111" s="81">
        <v>20330.900000000001</v>
      </c>
      <c r="K111" s="198">
        <f>(G111-F111)*D111*E111</f>
        <v>0</v>
      </c>
    </row>
    <row r="112" spans="1:12" x14ac:dyDescent="0.2">
      <c r="A112" s="1295"/>
      <c r="B112" s="77"/>
      <c r="C112" s="78"/>
      <c r="D112" s="95"/>
      <c r="E112" s="79"/>
      <c r="F112" s="80"/>
      <c r="G112" s="80"/>
      <c r="H112" s="96"/>
      <c r="I112" s="81"/>
      <c r="J112" s="81"/>
      <c r="K112" s="198">
        <f>K110-K111</f>
        <v>0</v>
      </c>
    </row>
    <row r="113" spans="1:14" x14ac:dyDescent="0.2">
      <c r="A113" s="1295"/>
      <c r="B113" s="895" t="s">
        <v>1390</v>
      </c>
      <c r="C113" s="78" t="s">
        <v>1388</v>
      </c>
      <c r="D113" s="95">
        <v>3600000</v>
      </c>
      <c r="E113" s="79">
        <v>1</v>
      </c>
      <c r="F113" s="525">
        <v>2651.4515699999997</v>
      </c>
      <c r="G113" s="525">
        <v>2723.2762000000002</v>
      </c>
      <c r="H113" s="96">
        <f>G113-F113</f>
        <v>71.824630000000525</v>
      </c>
      <c r="I113" s="96">
        <v>19873.439999999999</v>
      </c>
      <c r="J113" s="96">
        <v>19873.439999999999</v>
      </c>
      <c r="K113" s="198">
        <f>H113*D113*E113</f>
        <v>258568668.00000188</v>
      </c>
    </row>
    <row r="114" spans="1:14" x14ac:dyDescent="0.2">
      <c r="A114" s="1295"/>
      <c r="B114" s="77" t="s">
        <v>330</v>
      </c>
      <c r="C114" s="78" t="s">
        <v>1389</v>
      </c>
      <c r="D114" s="95">
        <v>3600000</v>
      </c>
      <c r="E114" s="79">
        <v>1</v>
      </c>
      <c r="F114" s="521">
        <v>1.1956800000000001</v>
      </c>
      <c r="G114" s="521">
        <v>1.1956800000000001</v>
      </c>
      <c r="H114" s="96">
        <f>G114-F114</f>
        <v>0</v>
      </c>
      <c r="I114" s="81">
        <v>20330.900000000001</v>
      </c>
      <c r="J114" s="81">
        <v>20330.900000000001</v>
      </c>
      <c r="K114" s="198">
        <f>(G114-F114)*D114*E114</f>
        <v>0</v>
      </c>
    </row>
    <row r="115" spans="1:14" x14ac:dyDescent="0.2">
      <c r="A115" s="1295"/>
      <c r="B115" s="895" t="s">
        <v>367</v>
      </c>
      <c r="C115" s="78"/>
      <c r="D115" s="95"/>
      <c r="E115" s="79"/>
      <c r="F115" s="521"/>
      <c r="G115" s="521"/>
      <c r="H115" s="96"/>
      <c r="I115" s="81"/>
      <c r="J115" s="81"/>
      <c r="K115" s="202">
        <f>K110+K113</f>
        <v>258568668.00000188</v>
      </c>
    </row>
    <row r="116" spans="1:14" x14ac:dyDescent="0.2">
      <c r="A116" s="1295"/>
      <c r="B116" s="895" t="s">
        <v>368</v>
      </c>
      <c r="C116" s="78"/>
      <c r="D116" s="95"/>
      <c r="E116" s="79"/>
      <c r="F116" s="521"/>
      <c r="G116" s="521"/>
      <c r="H116" s="96"/>
      <c r="I116" s="81"/>
      <c r="J116" s="81"/>
      <c r="K116" s="202">
        <f>K111+K114</f>
        <v>0</v>
      </c>
    </row>
    <row r="117" spans="1:14" s="4" customFormat="1" x14ac:dyDescent="0.2">
      <c r="A117" s="1295"/>
      <c r="B117" s="71" t="s">
        <v>331</v>
      </c>
      <c r="C117" s="62"/>
      <c r="D117" s="62"/>
      <c r="E117" s="63"/>
      <c r="F117" s="64"/>
      <c r="G117" s="64"/>
      <c r="H117" s="65"/>
      <c r="I117" s="66"/>
      <c r="J117" s="66"/>
      <c r="K117" s="1245">
        <f>K115-K116</f>
        <v>258568668.00000188</v>
      </c>
      <c r="L117" s="896">
        <v>10</v>
      </c>
    </row>
    <row r="118" spans="1:14" x14ac:dyDescent="0.2">
      <c r="A118" s="1295"/>
      <c r="B118" s="1315" t="s">
        <v>1322</v>
      </c>
      <c r="C118" s="1317">
        <v>42334949</v>
      </c>
      <c r="D118" s="78">
        <v>360000</v>
      </c>
      <c r="E118" s="79">
        <v>1</v>
      </c>
      <c r="F118" s="80">
        <v>1801.67354</v>
      </c>
      <c r="G118" s="521">
        <v>1844.8910800000001</v>
      </c>
      <c r="H118" s="81">
        <f>G118-F118</f>
        <v>43.217540000000099</v>
      </c>
      <c r="I118" s="57"/>
      <c r="J118" s="57"/>
      <c r="K118" s="611">
        <f>(G118-F118)*D118*E118</f>
        <v>15558314.400000036</v>
      </c>
      <c r="N118" s="6">
        <f>SUM(N279-K48)</f>
        <v>1600637969.9554343</v>
      </c>
    </row>
    <row r="119" spans="1:14" x14ac:dyDescent="0.2">
      <c r="A119" s="1295"/>
      <c r="B119" s="1316"/>
      <c r="C119" s="1318"/>
      <c r="D119" s="78">
        <v>360000</v>
      </c>
      <c r="E119" s="79">
        <v>1</v>
      </c>
      <c r="F119" s="80">
        <v>2.4559299999999999</v>
      </c>
      <c r="G119" s="521">
        <v>2.5265900000000001</v>
      </c>
      <c r="H119" s="81">
        <f>G119-F119</f>
        <v>7.0660000000000167E-2</v>
      </c>
      <c r="I119" s="57"/>
      <c r="J119" s="57"/>
      <c r="K119" s="611">
        <f>(G119-F119)*D119*E119</f>
        <v>25437.60000000006</v>
      </c>
    </row>
    <row r="120" spans="1:14" x14ac:dyDescent="0.2">
      <c r="A120" s="1295"/>
      <c r="B120" s="223" t="s">
        <v>1322</v>
      </c>
      <c r="C120" s="421"/>
      <c r="D120" s="109"/>
      <c r="E120" s="110"/>
      <c r="F120" s="111"/>
      <c r="G120" s="111"/>
      <c r="H120" s="112"/>
      <c r="I120" s="66"/>
      <c r="J120" s="66"/>
      <c r="K120" s="1245">
        <f>K118-K119</f>
        <v>15532876.800000036</v>
      </c>
      <c r="L120" s="749">
        <v>11</v>
      </c>
    </row>
    <row r="121" spans="1:14" x14ac:dyDescent="0.2">
      <c r="A121" s="1295"/>
      <c r="B121" s="92" t="s">
        <v>1567</v>
      </c>
      <c r="C121" s="1317" t="s">
        <v>1197</v>
      </c>
      <c r="D121" s="78">
        <v>1440000</v>
      </c>
      <c r="E121" s="79">
        <v>1</v>
      </c>
      <c r="F121" s="80">
        <v>1783.82808</v>
      </c>
      <c r="G121" s="521">
        <v>1802.9663</v>
      </c>
      <c r="H121" s="81">
        <f>G121-F121</f>
        <v>19.138220000000047</v>
      </c>
      <c r="I121" s="57"/>
      <c r="J121" s="57"/>
      <c r="K121" s="612">
        <f>(G121-F121)*D121*E121</f>
        <v>27559036.800000068</v>
      </c>
    </row>
    <row r="122" spans="1:14" x14ac:dyDescent="0.2">
      <c r="A122" s="1295"/>
      <c r="B122" s="92" t="s">
        <v>1568</v>
      </c>
      <c r="C122" s="1318"/>
      <c r="D122" s="78">
        <v>1440000</v>
      </c>
      <c r="E122" s="79">
        <v>1</v>
      </c>
      <c r="F122" s="80">
        <v>1.92669</v>
      </c>
      <c r="G122" s="521">
        <v>1.9752700000000001</v>
      </c>
      <c r="H122" s="81">
        <f>G122-F122</f>
        <v>4.8580000000000068E-2</v>
      </c>
      <c r="I122" s="57"/>
      <c r="J122" s="57"/>
      <c r="K122" s="612">
        <f>(G122-F122)*D122*E122</f>
        <v>69955.200000000099</v>
      </c>
    </row>
    <row r="123" spans="1:14" x14ac:dyDescent="0.2">
      <c r="A123" s="1295"/>
      <c r="B123" s="223" t="s">
        <v>1566</v>
      </c>
      <c r="C123" s="421"/>
      <c r="D123" s="109"/>
      <c r="E123" s="110"/>
      <c r="F123" s="111"/>
      <c r="G123" s="111"/>
      <c r="H123" s="112"/>
      <c r="I123" s="66"/>
      <c r="J123" s="66"/>
      <c r="K123" s="1245">
        <f>K121-K122</f>
        <v>27489081.600000069</v>
      </c>
      <c r="L123" s="749">
        <v>12</v>
      </c>
    </row>
    <row r="124" spans="1:14" x14ac:dyDescent="0.2">
      <c r="A124" s="1295"/>
      <c r="B124" s="368" t="s">
        <v>47</v>
      </c>
      <c r="C124" s="43">
        <v>217156072</v>
      </c>
      <c r="D124" s="43">
        <v>1000</v>
      </c>
      <c r="E124" s="44">
        <v>1</v>
      </c>
      <c r="F124" s="524">
        <v>6743447.517</v>
      </c>
      <c r="G124" s="524">
        <v>6826538.6519999998</v>
      </c>
      <c r="H124" s="46">
        <f>G124-F124</f>
        <v>83091.134999999776</v>
      </c>
      <c r="I124" s="57"/>
      <c r="J124" s="57"/>
      <c r="K124" s="194">
        <f>(G124-F124)*D124*E124</f>
        <v>83091134.999999776</v>
      </c>
    </row>
    <row r="125" spans="1:14" ht="12.75" customHeight="1" x14ac:dyDescent="0.2">
      <c r="A125" s="1295"/>
      <c r="B125" s="67" t="s">
        <v>48</v>
      </c>
      <c r="C125" s="43">
        <v>217156069</v>
      </c>
      <c r="D125" s="43">
        <v>1000</v>
      </c>
      <c r="E125" s="44">
        <v>1</v>
      </c>
      <c r="F125" s="524">
        <v>6180580.7309999997</v>
      </c>
      <c r="G125" s="524">
        <v>6260564.3370000003</v>
      </c>
      <c r="H125" s="46">
        <f>G125-F125</f>
        <v>79983.606000000611</v>
      </c>
      <c r="I125" s="57"/>
      <c r="J125" s="57"/>
      <c r="K125" s="194">
        <f>(G125-F125)*D125*E125</f>
        <v>79983606.000000611</v>
      </c>
    </row>
    <row r="126" spans="1:14" x14ac:dyDescent="0.2">
      <c r="A126" s="1295"/>
      <c r="B126" s="67" t="s">
        <v>49</v>
      </c>
      <c r="C126" s="43">
        <v>217156070</v>
      </c>
      <c r="D126" s="43">
        <v>1000</v>
      </c>
      <c r="E126" s="44">
        <v>1</v>
      </c>
      <c r="F126" s="524">
        <v>8043455.3729999997</v>
      </c>
      <c r="G126" s="524">
        <v>8145611.2680000002</v>
      </c>
      <c r="H126" s="46">
        <f>G126-F126</f>
        <v>102155.89500000048</v>
      </c>
      <c r="I126" s="57"/>
      <c r="J126" s="57"/>
      <c r="K126" s="194">
        <f>(G126-F126)*D126*E126</f>
        <v>102155895.00000048</v>
      </c>
    </row>
    <row r="127" spans="1:14" x14ac:dyDescent="0.2">
      <c r="A127" s="1295"/>
      <c r="B127" s="69" t="s">
        <v>8</v>
      </c>
      <c r="C127" s="43"/>
      <c r="D127" s="43"/>
      <c r="E127" s="44"/>
      <c r="F127" s="68"/>
      <c r="G127" s="68"/>
      <c r="H127" s="46"/>
      <c r="I127" s="57"/>
      <c r="J127" s="57"/>
      <c r="K127" s="195">
        <f>K124+K125+K126</f>
        <v>265230636.00000086</v>
      </c>
    </row>
    <row r="128" spans="1:14" x14ac:dyDescent="0.2">
      <c r="A128" s="1295"/>
      <c r="B128" s="67" t="s">
        <v>50</v>
      </c>
      <c r="C128" s="43">
        <v>217156071</v>
      </c>
      <c r="D128" s="43">
        <v>1000</v>
      </c>
      <c r="E128" s="44">
        <v>1</v>
      </c>
      <c r="F128" s="603">
        <v>12009.398999999999</v>
      </c>
      <c r="G128" s="603">
        <v>12009.398999999999</v>
      </c>
      <c r="H128" s="46">
        <f>G128-F128</f>
        <v>0</v>
      </c>
      <c r="I128" s="57"/>
      <c r="J128" s="57"/>
      <c r="K128" s="194">
        <f>(G128-F128)*D128*E128</f>
        <v>0</v>
      </c>
      <c r="N128" s="365" t="s">
        <v>1329</v>
      </c>
    </row>
    <row r="129" spans="1:12" x14ac:dyDescent="0.2">
      <c r="A129" s="1295"/>
      <c r="B129" s="67" t="s">
        <v>51</v>
      </c>
      <c r="C129" s="43">
        <v>217156071</v>
      </c>
      <c r="D129" s="43">
        <v>1000</v>
      </c>
      <c r="E129" s="44">
        <v>1</v>
      </c>
      <c r="F129" s="524">
        <v>2401.3530000000001</v>
      </c>
      <c r="G129" s="524">
        <v>2401.3530000000001</v>
      </c>
      <c r="H129" s="46">
        <f>G129-F129</f>
        <v>0</v>
      </c>
      <c r="I129" s="57"/>
      <c r="J129" s="57"/>
      <c r="K129" s="194">
        <f>(G129-F129)*D129*E129</f>
        <v>0</v>
      </c>
    </row>
    <row r="130" spans="1:12" x14ac:dyDescent="0.2">
      <c r="A130" s="1295"/>
      <c r="B130" s="69" t="s">
        <v>52</v>
      </c>
      <c r="C130" s="43"/>
      <c r="D130" s="43"/>
      <c r="E130" s="44"/>
      <c r="F130" s="70"/>
      <c r="G130" s="70"/>
      <c r="H130" s="46"/>
      <c r="I130" s="46"/>
      <c r="J130" s="46"/>
      <c r="K130" s="195">
        <f>K128+K129</f>
        <v>0</v>
      </c>
    </row>
    <row r="131" spans="1:12" s="13" customFormat="1" x14ac:dyDescent="0.2">
      <c r="A131" s="1295"/>
      <c r="B131" s="71" t="s">
        <v>53</v>
      </c>
      <c r="C131" s="62"/>
      <c r="D131" s="72"/>
      <c r="E131" s="73"/>
      <c r="F131" s="491"/>
      <c r="G131" s="74"/>
      <c r="H131" s="75"/>
      <c r="I131" s="76"/>
      <c r="J131" s="76"/>
      <c r="K131" s="1245">
        <f>K127-K130</f>
        <v>265230636.00000086</v>
      </c>
      <c r="L131" s="898">
        <v>13</v>
      </c>
    </row>
    <row r="132" spans="1:12" x14ac:dyDescent="0.2">
      <c r="A132" s="1295"/>
      <c r="B132" s="92" t="s">
        <v>315</v>
      </c>
      <c r="C132" s="78">
        <v>22004988</v>
      </c>
      <c r="D132" s="78">
        <v>1000</v>
      </c>
      <c r="E132" s="79">
        <v>1</v>
      </c>
      <c r="F132" s="589">
        <v>956687.4</v>
      </c>
      <c r="G132" s="589">
        <v>956687.4</v>
      </c>
      <c r="H132" s="83">
        <f t="shared" ref="H132:H218" si="18">G132-F132</f>
        <v>0</v>
      </c>
      <c r="I132" s="81">
        <v>417864.1</v>
      </c>
      <c r="J132" s="81">
        <v>451498.5</v>
      </c>
      <c r="K132" s="198">
        <f>(G132-F132)*D132*E132</f>
        <v>0</v>
      </c>
    </row>
    <row r="133" spans="1:12" x14ac:dyDescent="0.2">
      <c r="A133" s="1295"/>
      <c r="B133" s="92" t="s">
        <v>316</v>
      </c>
      <c r="C133" s="78">
        <v>22004988</v>
      </c>
      <c r="D133" s="78">
        <v>1000</v>
      </c>
      <c r="E133" s="79">
        <v>1</v>
      </c>
      <c r="F133" s="521">
        <v>18385.7</v>
      </c>
      <c r="G133" s="521">
        <v>18385.7</v>
      </c>
      <c r="H133" s="81">
        <f t="shared" si="18"/>
        <v>0</v>
      </c>
      <c r="I133" s="82">
        <v>5687.8</v>
      </c>
      <c r="J133" s="82">
        <v>5834.9</v>
      </c>
      <c r="K133" s="198">
        <f>(G133-F133)*D133*E133</f>
        <v>0</v>
      </c>
    </row>
    <row r="134" spans="1:12" s="4" customFormat="1" x14ac:dyDescent="0.2">
      <c r="A134" s="1295"/>
      <c r="B134" s="71" t="s">
        <v>57</v>
      </c>
      <c r="C134" s="62"/>
      <c r="D134" s="62"/>
      <c r="E134" s="89"/>
      <c r="F134" s="93"/>
      <c r="G134" s="93"/>
      <c r="H134" s="65"/>
      <c r="I134" s="90"/>
      <c r="J134" s="90"/>
      <c r="K134" s="1245">
        <f>K132-K133</f>
        <v>0</v>
      </c>
      <c r="L134" s="896">
        <v>14</v>
      </c>
    </row>
    <row r="135" spans="1:12" x14ac:dyDescent="0.2">
      <c r="A135" s="1295"/>
      <c r="B135" s="106" t="s">
        <v>1104</v>
      </c>
      <c r="C135" s="85">
        <v>208321052</v>
      </c>
      <c r="D135" s="85">
        <v>960000</v>
      </c>
      <c r="E135" s="86">
        <v>1</v>
      </c>
      <c r="F135" s="476">
        <v>3586.30663</v>
      </c>
      <c r="G135" s="476">
        <v>3586.30663</v>
      </c>
      <c r="H135" s="87">
        <f>G135-F135</f>
        <v>0</v>
      </c>
      <c r="I135" s="87">
        <v>775.45150999999998</v>
      </c>
      <c r="J135" s="87">
        <v>775.45150999999998</v>
      </c>
      <c r="K135" s="200">
        <f>(G135-F135)*D135*E135</f>
        <v>0</v>
      </c>
    </row>
    <row r="136" spans="1:12" ht="15" customHeight="1" x14ac:dyDescent="0.2">
      <c r="A136" s="1295"/>
      <c r="B136" s="106" t="s">
        <v>1105</v>
      </c>
      <c r="C136" s="85">
        <v>208321052</v>
      </c>
      <c r="D136" s="85">
        <v>960000</v>
      </c>
      <c r="E136" s="86">
        <v>1</v>
      </c>
      <c r="F136" s="403">
        <v>1.1209999999999999E-2</v>
      </c>
      <c r="G136" s="403">
        <v>1.1209999999999999E-2</v>
      </c>
      <c r="H136" s="81">
        <f>G136-F136</f>
        <v>0</v>
      </c>
      <c r="I136" s="81">
        <v>9.0100000000000006E-3</v>
      </c>
      <c r="J136" s="81">
        <v>9.0100000000000006E-3</v>
      </c>
      <c r="K136" s="198">
        <f>(G136-F136)*D136*E136</f>
        <v>0</v>
      </c>
    </row>
    <row r="137" spans="1:12" ht="15" customHeight="1" x14ac:dyDescent="0.2">
      <c r="A137" s="1295"/>
      <c r="B137" s="106" t="s">
        <v>1104</v>
      </c>
      <c r="C137" s="85" t="s">
        <v>670</v>
      </c>
      <c r="D137" s="85">
        <v>960000</v>
      </c>
      <c r="E137" s="86">
        <v>1</v>
      </c>
      <c r="F137" s="521">
        <v>1228.2465999999999</v>
      </c>
      <c r="G137" s="521">
        <v>1228.2465999999999</v>
      </c>
      <c r="H137" s="81">
        <f>G137-F137</f>
        <v>0</v>
      </c>
      <c r="I137" s="81"/>
      <c r="J137" s="81"/>
      <c r="K137" s="198">
        <f>(G137-F137)*D137*E137</f>
        <v>0</v>
      </c>
    </row>
    <row r="138" spans="1:12" ht="15" customHeight="1" x14ac:dyDescent="0.2">
      <c r="A138" s="1295"/>
      <c r="B138" s="106" t="s">
        <v>1105</v>
      </c>
      <c r="C138" s="85" t="s">
        <v>671</v>
      </c>
      <c r="D138" s="85">
        <v>960000</v>
      </c>
      <c r="E138" s="86">
        <v>1</v>
      </c>
      <c r="F138" s="521">
        <v>5.4821999999999997</v>
      </c>
      <c r="G138" s="521">
        <v>5.5564</v>
      </c>
      <c r="H138" s="81">
        <f>G138-F138</f>
        <v>7.4200000000000266E-2</v>
      </c>
      <c r="I138" s="81"/>
      <c r="J138" s="81"/>
      <c r="K138" s="198">
        <f>(G138-F138)*D138*E138</f>
        <v>71232.000000000262</v>
      </c>
    </row>
    <row r="139" spans="1:12" ht="15" customHeight="1" x14ac:dyDescent="0.2">
      <c r="A139" s="1295"/>
      <c r="B139" s="106" t="s">
        <v>367</v>
      </c>
      <c r="C139" s="85"/>
      <c r="D139" s="85"/>
      <c r="E139" s="86"/>
      <c r="F139" s="52"/>
      <c r="G139" s="52"/>
      <c r="H139" s="81"/>
      <c r="I139" s="81"/>
      <c r="J139" s="81"/>
      <c r="K139" s="202">
        <f>K135+K137</f>
        <v>0</v>
      </c>
    </row>
    <row r="140" spans="1:12" ht="15" customHeight="1" x14ac:dyDescent="0.2">
      <c r="A140" s="1295"/>
      <c r="B140" s="106" t="s">
        <v>368</v>
      </c>
      <c r="C140" s="85"/>
      <c r="D140" s="85"/>
      <c r="E140" s="86"/>
      <c r="F140" s="52"/>
      <c r="G140" s="52"/>
      <c r="H140" s="81"/>
      <c r="I140" s="81"/>
      <c r="J140" s="81"/>
      <c r="K140" s="202">
        <f>K136+K138</f>
        <v>71232.000000000262</v>
      </c>
    </row>
    <row r="141" spans="1:12" s="4" customFormat="1" x14ac:dyDescent="0.2">
      <c r="A141" s="1295"/>
      <c r="B141" s="223" t="s">
        <v>1103</v>
      </c>
      <c r="C141" s="62"/>
      <c r="D141" s="62"/>
      <c r="E141" s="110"/>
      <c r="F141" s="64"/>
      <c r="G141" s="64"/>
      <c r="H141" s="112"/>
      <c r="I141" s="112"/>
      <c r="J141" s="112"/>
      <c r="K141" s="1245">
        <f>K139-K140</f>
        <v>-71232.000000000262</v>
      </c>
      <c r="L141" s="896">
        <v>15</v>
      </c>
    </row>
    <row r="142" spans="1:12" x14ac:dyDescent="0.2">
      <c r="A142" s="1295"/>
      <c r="B142" s="92" t="s">
        <v>1205</v>
      </c>
      <c r="C142" s="689" t="s">
        <v>1206</v>
      </c>
      <c r="D142" s="78">
        <v>960000</v>
      </c>
      <c r="E142" s="79">
        <v>1</v>
      </c>
      <c r="F142" s="80">
        <v>1878.6269</v>
      </c>
      <c r="G142" s="521">
        <v>1891.7449999999999</v>
      </c>
      <c r="H142" s="81">
        <f>G142-F142</f>
        <v>13.118099999999913</v>
      </c>
      <c r="I142" s="57"/>
      <c r="J142" s="57"/>
      <c r="K142" s="612">
        <f>(G142-F142)*D142*E142</f>
        <v>12593375.999999916</v>
      </c>
    </row>
    <row r="143" spans="1:12" x14ac:dyDescent="0.2">
      <c r="A143" s="1295"/>
      <c r="B143" s="92" t="s">
        <v>1205</v>
      </c>
      <c r="C143" s="689" t="s">
        <v>1206</v>
      </c>
      <c r="D143" s="78">
        <v>960000</v>
      </c>
      <c r="E143" s="79">
        <v>1</v>
      </c>
      <c r="F143" s="80">
        <v>2.8582000000000001</v>
      </c>
      <c r="G143" s="521">
        <v>2.9356</v>
      </c>
      <c r="H143" s="81">
        <f>G143-F143</f>
        <v>7.7399999999999913E-2</v>
      </c>
      <c r="I143" s="57"/>
      <c r="J143" s="57"/>
      <c r="K143" s="612">
        <f>(G143-F143)*D143*E143</f>
        <v>74303.999999999913</v>
      </c>
    </row>
    <row r="144" spans="1:12" x14ac:dyDescent="0.2">
      <c r="A144" s="1295"/>
      <c r="B144" s="223" t="s">
        <v>1279</v>
      </c>
      <c r="C144" s="421"/>
      <c r="D144" s="109"/>
      <c r="E144" s="110"/>
      <c r="F144" s="111"/>
      <c r="G144" s="111"/>
      <c r="H144" s="112"/>
      <c r="I144" s="66"/>
      <c r="J144" s="66"/>
      <c r="K144" s="1245">
        <f>K142-K143</f>
        <v>12519071.999999916</v>
      </c>
      <c r="L144" s="749">
        <v>16</v>
      </c>
    </row>
    <row r="145" spans="1:14" x14ac:dyDescent="0.2">
      <c r="A145" s="1295"/>
      <c r="B145" s="108" t="s">
        <v>1554</v>
      </c>
      <c r="C145" s="85">
        <v>12393383</v>
      </c>
      <c r="D145" s="85">
        <v>960000</v>
      </c>
      <c r="E145" s="86">
        <v>1</v>
      </c>
      <c r="F145" s="521">
        <v>3132.0948749999998</v>
      </c>
      <c r="G145" s="521">
        <v>3132.0948749999998</v>
      </c>
      <c r="H145" s="87">
        <f>G145-F145</f>
        <v>0</v>
      </c>
      <c r="I145" s="87">
        <v>191.17574999999999</v>
      </c>
      <c r="J145" s="87">
        <v>191.17574999999999</v>
      </c>
      <c r="K145" s="200">
        <f>(G145-F145)*D145*E145</f>
        <v>0</v>
      </c>
    </row>
    <row r="146" spans="1:14" x14ac:dyDescent="0.2">
      <c r="A146" s="1295"/>
      <c r="B146" s="108" t="s">
        <v>1555</v>
      </c>
      <c r="C146" s="85">
        <v>12393383</v>
      </c>
      <c r="D146" s="85">
        <v>960000</v>
      </c>
      <c r="E146" s="86">
        <v>1</v>
      </c>
      <c r="F146" s="521">
        <v>18.510249999999999</v>
      </c>
      <c r="G146" s="521">
        <v>18.554725000000001</v>
      </c>
      <c r="H146" s="87">
        <f>G146-F146</f>
        <v>4.4475000000002041E-2</v>
      </c>
      <c r="I146" s="87">
        <v>0.58197500000000002</v>
      </c>
      <c r="J146" s="87">
        <v>0.58197500000000002</v>
      </c>
      <c r="K146" s="200">
        <f>(G146-F146)*D146*E146</f>
        <v>42696.000000001957</v>
      </c>
    </row>
    <row r="147" spans="1:14" s="4" customFormat="1" x14ac:dyDescent="0.2">
      <c r="A147" s="1295"/>
      <c r="B147" s="71" t="s">
        <v>1356</v>
      </c>
      <c r="C147" s="62"/>
      <c r="D147" s="62"/>
      <c r="E147" s="89"/>
      <c r="F147" s="64"/>
      <c r="G147" s="64"/>
      <c r="H147" s="90"/>
      <c r="I147" s="90"/>
      <c r="J147" s="90"/>
      <c r="K147" s="1245">
        <f>K145-K146</f>
        <v>-42696.000000001957</v>
      </c>
      <c r="L147" s="896">
        <v>17</v>
      </c>
    </row>
    <row r="148" spans="1:14" s="483" customFormat="1" ht="12.75" customHeight="1" x14ac:dyDescent="0.2">
      <c r="A148" s="1295"/>
      <c r="B148" s="1315" t="s">
        <v>1547</v>
      </c>
      <c r="C148" s="1317" t="s">
        <v>1550</v>
      </c>
      <c r="D148" s="78">
        <f t="shared" ref="D148:D153" si="19">700*400/0.11</f>
        <v>2545454.5454545454</v>
      </c>
      <c r="E148" s="79">
        <v>1</v>
      </c>
      <c r="F148" s="80">
        <v>18.159729626000001</v>
      </c>
      <c r="G148" s="80">
        <v>25.136889453999999</v>
      </c>
      <c r="H148" s="81">
        <f t="shared" ref="H148:H153" si="20">G148-F148</f>
        <v>6.9771598279999978</v>
      </c>
      <c r="I148" s="1124">
        <f t="shared" ref="I148:I153" si="21">(G148-F148)*D148*E148</f>
        <v>17760043.198545448</v>
      </c>
      <c r="J148" s="424"/>
      <c r="K148" s="198">
        <f>(G148-F148)*D148*E148</f>
        <v>17760043.198545448</v>
      </c>
      <c r="L148" s="899"/>
    </row>
    <row r="149" spans="1:14" s="483" customFormat="1" x14ac:dyDescent="0.2">
      <c r="A149" s="1295"/>
      <c r="B149" s="1316"/>
      <c r="C149" s="1318"/>
      <c r="D149" s="78">
        <f t="shared" si="19"/>
        <v>2545454.5454545454</v>
      </c>
      <c r="E149" s="79">
        <v>-1</v>
      </c>
      <c r="F149" s="80">
        <v>6.2664939259999999</v>
      </c>
      <c r="G149" s="80">
        <v>7.0048966339999996</v>
      </c>
      <c r="H149" s="81">
        <f t="shared" si="20"/>
        <v>0.73840270799999974</v>
      </c>
      <c r="I149" s="1124">
        <f t="shared" si="21"/>
        <v>-1879570.5294545447</v>
      </c>
      <c r="J149" s="424"/>
      <c r="K149" s="198">
        <f t="shared" ref="K149:K153" si="22">(G149-F149)*D149*E149</f>
        <v>-1879570.5294545447</v>
      </c>
      <c r="L149" s="899"/>
    </row>
    <row r="150" spans="1:14" s="483" customFormat="1" ht="12.75" customHeight="1" x14ac:dyDescent="0.2">
      <c r="A150" s="1295"/>
      <c r="B150" s="1315" t="s">
        <v>1548</v>
      </c>
      <c r="C150" s="1317" t="s">
        <v>1551</v>
      </c>
      <c r="D150" s="78">
        <f t="shared" si="19"/>
        <v>2545454.5454545454</v>
      </c>
      <c r="E150" s="79">
        <v>1</v>
      </c>
      <c r="F150" s="80">
        <v>18.777142791999999</v>
      </c>
      <c r="G150" s="80">
        <v>32.891465033000003</v>
      </c>
      <c r="H150" s="81">
        <f t="shared" si="20"/>
        <v>14.114322241000004</v>
      </c>
      <c r="I150" s="1124">
        <f t="shared" si="21"/>
        <v>35927365.704363644</v>
      </c>
      <c r="J150" s="424"/>
      <c r="K150" s="198">
        <f t="shared" si="22"/>
        <v>35927365.704363644</v>
      </c>
      <c r="L150" s="899"/>
      <c r="N150" s="1134"/>
    </row>
    <row r="151" spans="1:14" s="483" customFormat="1" x14ac:dyDescent="0.2">
      <c r="A151" s="1295"/>
      <c r="B151" s="1316"/>
      <c r="C151" s="1318"/>
      <c r="D151" s="78">
        <f t="shared" si="19"/>
        <v>2545454.5454545454</v>
      </c>
      <c r="E151" s="79">
        <v>-1</v>
      </c>
      <c r="F151" s="80">
        <v>4.7828851669999999</v>
      </c>
      <c r="G151" s="80">
        <v>5.0663119070000002</v>
      </c>
      <c r="H151" s="81">
        <f t="shared" si="20"/>
        <v>0.28342674000000034</v>
      </c>
      <c r="I151" s="1124">
        <f t="shared" si="21"/>
        <v>-721449.88363636448</v>
      </c>
      <c r="J151" s="424"/>
      <c r="K151" s="198">
        <f t="shared" si="22"/>
        <v>-721449.88363636448</v>
      </c>
      <c r="L151" s="899"/>
    </row>
    <row r="152" spans="1:14" s="483" customFormat="1" ht="12.75" customHeight="1" x14ac:dyDescent="0.2">
      <c r="A152" s="1295"/>
      <c r="B152" s="1315" t="s">
        <v>1549</v>
      </c>
      <c r="C152" s="1317" t="s">
        <v>1552</v>
      </c>
      <c r="D152" s="78">
        <f t="shared" si="19"/>
        <v>2545454.5454545454</v>
      </c>
      <c r="E152" s="79">
        <v>1</v>
      </c>
      <c r="F152" s="80">
        <v>22.321446598000001</v>
      </c>
      <c r="G152" s="80">
        <v>34.818053376999998</v>
      </c>
      <c r="H152" s="81">
        <f t="shared" si="20"/>
        <v>12.496606778999997</v>
      </c>
      <c r="I152" s="1124">
        <f t="shared" si="21"/>
        <v>31809544.528363626</v>
      </c>
      <c r="J152" s="424"/>
      <c r="K152" s="198">
        <f t="shared" si="22"/>
        <v>31809544.528363626</v>
      </c>
      <c r="L152" s="899"/>
    </row>
    <row r="153" spans="1:14" s="483" customFormat="1" x14ac:dyDescent="0.2">
      <c r="A153" s="1295"/>
      <c r="B153" s="1316"/>
      <c r="C153" s="1318"/>
      <c r="D153" s="78">
        <f t="shared" si="19"/>
        <v>2545454.5454545454</v>
      </c>
      <c r="E153" s="79">
        <v>-1</v>
      </c>
      <c r="F153" s="80">
        <v>4.9287782000000002E-2</v>
      </c>
      <c r="G153" s="80">
        <v>4.9293036999999998E-2</v>
      </c>
      <c r="H153" s="81">
        <f t="shared" si="20"/>
        <v>5.2549999999956798E-6</v>
      </c>
      <c r="I153" s="1124">
        <f t="shared" si="21"/>
        <v>-13.376363636352639</v>
      </c>
      <c r="J153" s="424"/>
      <c r="K153" s="198">
        <f t="shared" si="22"/>
        <v>-13.376363636352639</v>
      </c>
      <c r="L153" s="899"/>
    </row>
    <row r="154" spans="1:14" s="483" customFormat="1" x14ac:dyDescent="0.2">
      <c r="A154" s="1295"/>
      <c r="B154" s="1131" t="s">
        <v>1553</v>
      </c>
      <c r="C154" s="421"/>
      <c r="D154" s="109"/>
      <c r="E154" s="110"/>
      <c r="F154" s="111"/>
      <c r="G154" s="111"/>
      <c r="H154" s="112"/>
      <c r="I154" s="66">
        <f>I148+I152-I149-I153+I150-I151</f>
        <v>88097987.220727265</v>
      </c>
      <c r="J154" s="66"/>
      <c r="K154" s="1245">
        <f>SUM(K148:K153)</f>
        <v>82895919.641818181</v>
      </c>
      <c r="L154" s="899">
        <v>18</v>
      </c>
    </row>
    <row r="155" spans="1:14" x14ac:dyDescent="0.2">
      <c r="A155" s="1295"/>
      <c r="B155" s="92" t="s">
        <v>379</v>
      </c>
      <c r="C155" s="1299">
        <v>16647439</v>
      </c>
      <c r="D155" s="425">
        <v>1045454.55</v>
      </c>
      <c r="E155" s="55">
        <v>1</v>
      </c>
      <c r="F155" s="521">
        <v>4368.6566750000002</v>
      </c>
      <c r="G155" s="521">
        <v>4374.0509249999996</v>
      </c>
      <c r="H155" s="81">
        <f>G155-F155</f>
        <v>5.3942499999993743</v>
      </c>
      <c r="I155" s="81"/>
      <c r="J155" s="81"/>
      <c r="K155" s="198">
        <f>(G155-F155)*D155*E155</f>
        <v>5639443.2063368456</v>
      </c>
    </row>
    <row r="156" spans="1:14" x14ac:dyDescent="0.2">
      <c r="A156" s="1295"/>
      <c r="B156" s="92" t="s">
        <v>380</v>
      </c>
      <c r="C156" s="1300"/>
      <c r="D156" s="425">
        <v>1045454.55</v>
      </c>
      <c r="E156" s="55">
        <v>1</v>
      </c>
      <c r="F156" s="521">
        <v>7.9596499999999999</v>
      </c>
      <c r="G156" s="521">
        <v>8.0201750000000001</v>
      </c>
      <c r="H156" s="81">
        <f>G156-F156</f>
        <v>6.0525000000000162E-2</v>
      </c>
      <c r="I156" s="81"/>
      <c r="J156" s="81"/>
      <c r="K156" s="198">
        <f>(G156-F156)*D156*E156</f>
        <v>63276.136638750169</v>
      </c>
    </row>
    <row r="157" spans="1:14" s="4" customFormat="1" x14ac:dyDescent="0.2">
      <c r="A157" s="1295"/>
      <c r="B157" s="71" t="s">
        <v>381</v>
      </c>
      <c r="C157" s="62"/>
      <c r="D157" s="62"/>
      <c r="E157" s="63"/>
      <c r="F157" s="64"/>
      <c r="G157" s="64"/>
      <c r="H157" s="65"/>
      <c r="I157" s="66"/>
      <c r="J157" s="66"/>
      <c r="K157" s="1245">
        <f>K155-K156</f>
        <v>5576167.0696980953</v>
      </c>
      <c r="L157" s="950">
        <v>19</v>
      </c>
    </row>
    <row r="158" spans="1:14" x14ac:dyDescent="0.2">
      <c r="A158" s="1295"/>
      <c r="B158" s="99" t="s">
        <v>304</v>
      </c>
      <c r="C158" s="85">
        <v>12568049</v>
      </c>
      <c r="D158" s="85">
        <v>480000</v>
      </c>
      <c r="E158" s="86">
        <v>1</v>
      </c>
      <c r="F158" s="942">
        <v>3389.4462749999998</v>
      </c>
      <c r="G158" s="942">
        <v>3389.4462749999998</v>
      </c>
      <c r="H158" s="87">
        <f t="shared" ref="H158:H163" si="23">G158-F158</f>
        <v>0</v>
      </c>
      <c r="I158" s="87">
        <v>271.26937500000003</v>
      </c>
      <c r="J158" s="87">
        <v>271.26937500000003</v>
      </c>
      <c r="K158" s="200">
        <f t="shared" ref="K158:K163" si="24">(G158-F158)*D158*E158</f>
        <v>0</v>
      </c>
    </row>
    <row r="159" spans="1:14" x14ac:dyDescent="0.2">
      <c r="A159" s="1295"/>
      <c r="B159" s="99" t="s">
        <v>305</v>
      </c>
      <c r="C159" s="85">
        <v>12568049</v>
      </c>
      <c r="D159" s="85">
        <v>480000</v>
      </c>
      <c r="E159" s="86">
        <v>1</v>
      </c>
      <c r="F159" s="942">
        <v>7.1065750000000003</v>
      </c>
      <c r="G159" s="942">
        <v>7.1065750000000003</v>
      </c>
      <c r="H159" s="87">
        <f t="shared" si="23"/>
        <v>0</v>
      </c>
      <c r="I159" s="87">
        <v>2.4371749999999999</v>
      </c>
      <c r="J159" s="87">
        <v>2.4371749999999999</v>
      </c>
      <c r="K159" s="200">
        <f t="shared" si="24"/>
        <v>0</v>
      </c>
    </row>
    <row r="160" spans="1:14" x14ac:dyDescent="0.2">
      <c r="A160" s="1295"/>
      <c r="B160" s="99" t="s">
        <v>304</v>
      </c>
      <c r="C160" s="85">
        <v>12568024</v>
      </c>
      <c r="D160" s="85">
        <v>480000</v>
      </c>
      <c r="E160" s="86">
        <v>1</v>
      </c>
      <c r="F160" s="942">
        <v>3397.360725</v>
      </c>
      <c r="G160" s="942">
        <v>3397.360725</v>
      </c>
      <c r="H160" s="87">
        <f t="shared" si="23"/>
        <v>0</v>
      </c>
      <c r="I160" s="87"/>
      <c r="J160" s="87"/>
      <c r="K160" s="200">
        <f t="shared" si="24"/>
        <v>0</v>
      </c>
    </row>
    <row r="161" spans="1:12" x14ac:dyDescent="0.2">
      <c r="A161" s="1295"/>
      <c r="B161" s="99" t="s">
        <v>305</v>
      </c>
      <c r="C161" s="85">
        <v>12568024</v>
      </c>
      <c r="D161" s="85">
        <v>480000</v>
      </c>
      <c r="E161" s="86">
        <v>1</v>
      </c>
      <c r="F161" s="942">
        <v>7.3913500000000001</v>
      </c>
      <c r="G161" s="942">
        <v>7.3913500000000001</v>
      </c>
      <c r="H161" s="87">
        <f t="shared" si="23"/>
        <v>0</v>
      </c>
      <c r="I161" s="87"/>
      <c r="J161" s="87"/>
      <c r="K161" s="200">
        <f t="shared" si="24"/>
        <v>0</v>
      </c>
    </row>
    <row r="162" spans="1:12" x14ac:dyDescent="0.2">
      <c r="A162" s="1295"/>
      <c r="B162" s="99" t="s">
        <v>1328</v>
      </c>
      <c r="C162" s="85">
        <v>42627703</v>
      </c>
      <c r="D162" s="85">
        <v>480000</v>
      </c>
      <c r="E162" s="86">
        <v>1</v>
      </c>
      <c r="F162" s="523">
        <v>1372.6210100000001</v>
      </c>
      <c r="G162" s="523">
        <v>1397.86106</v>
      </c>
      <c r="H162" s="87">
        <f t="shared" si="23"/>
        <v>25.240049999999883</v>
      </c>
      <c r="I162" s="87"/>
      <c r="J162" s="87"/>
      <c r="K162" s="200">
        <f>(G162-F162)*D162*E162</f>
        <v>12115223.999999944</v>
      </c>
    </row>
    <row r="163" spans="1:12" x14ac:dyDescent="0.2">
      <c r="A163" s="1295"/>
      <c r="B163" s="99" t="s">
        <v>305</v>
      </c>
      <c r="C163" s="85">
        <v>42627703</v>
      </c>
      <c r="D163" s="85">
        <v>480000</v>
      </c>
      <c r="E163" s="86">
        <v>1</v>
      </c>
      <c r="F163" s="523">
        <v>2.0616099999999999</v>
      </c>
      <c r="G163" s="523">
        <v>2.09483</v>
      </c>
      <c r="H163" s="87">
        <f t="shared" si="23"/>
        <v>3.3220000000000027E-2</v>
      </c>
      <c r="I163" s="87"/>
      <c r="J163" s="87"/>
      <c r="K163" s="200">
        <f t="shared" si="24"/>
        <v>15945.600000000013</v>
      </c>
    </row>
    <row r="164" spans="1:12" x14ac:dyDescent="0.2">
      <c r="A164" s="1295"/>
      <c r="B164" s="88" t="s">
        <v>367</v>
      </c>
      <c r="C164" s="85"/>
      <c r="D164" s="85"/>
      <c r="E164" s="86"/>
      <c r="F164" s="523"/>
      <c r="G164" s="523"/>
      <c r="H164" s="87"/>
      <c r="I164" s="87"/>
      <c r="J164" s="87"/>
      <c r="K164" s="195">
        <f>K158+K160+K162</f>
        <v>12115223.999999944</v>
      </c>
    </row>
    <row r="165" spans="1:12" x14ac:dyDescent="0.2">
      <c r="A165" s="1295"/>
      <c r="B165" s="88" t="s">
        <v>368</v>
      </c>
      <c r="C165" s="85"/>
      <c r="D165" s="85"/>
      <c r="E165" s="86"/>
      <c r="F165" s="523"/>
      <c r="G165" s="523"/>
      <c r="H165" s="87"/>
      <c r="I165" s="87"/>
      <c r="J165" s="87"/>
      <c r="K165" s="195">
        <f>K159+K161+K163</f>
        <v>15945.600000000013</v>
      </c>
    </row>
    <row r="166" spans="1:12" s="4" customFormat="1" x14ac:dyDescent="0.2">
      <c r="A166" s="1295"/>
      <c r="B166" s="71" t="s">
        <v>306</v>
      </c>
      <c r="C166" s="62"/>
      <c r="D166" s="62"/>
      <c r="E166" s="89"/>
      <c r="F166" s="64"/>
      <c r="G166" s="64"/>
      <c r="H166" s="65"/>
      <c r="I166" s="90"/>
      <c r="J166" s="90"/>
      <c r="K166" s="1245">
        <f>K164-K165</f>
        <v>12099278.399999944</v>
      </c>
      <c r="L166" s="896">
        <v>20</v>
      </c>
    </row>
    <row r="167" spans="1:12" s="4" customFormat="1" x14ac:dyDescent="0.2">
      <c r="A167" s="1295"/>
      <c r="B167" s="495" t="s">
        <v>1059</v>
      </c>
      <c r="C167" s="1319">
        <v>44033461</v>
      </c>
      <c r="D167" s="401">
        <v>1200000</v>
      </c>
      <c r="E167" s="402">
        <v>1</v>
      </c>
      <c r="F167" s="80">
        <v>1410.6008899999999</v>
      </c>
      <c r="G167" s="80">
        <v>1410.6008899999999</v>
      </c>
      <c r="H167" s="404">
        <f>G167-F167</f>
        <v>0</v>
      </c>
      <c r="I167" s="404"/>
      <c r="J167" s="404"/>
      <c r="K167" s="465">
        <f>(G167-F167)*D167*E167</f>
        <v>0</v>
      </c>
      <c r="L167" s="896"/>
    </row>
    <row r="168" spans="1:12" s="4" customFormat="1" x14ac:dyDescent="0.2">
      <c r="A168" s="1295"/>
      <c r="B168" s="495" t="s">
        <v>1060</v>
      </c>
      <c r="C168" s="1320"/>
      <c r="D168" s="401">
        <v>1200000</v>
      </c>
      <c r="E168" s="402">
        <v>1</v>
      </c>
      <c r="F168" s="80">
        <v>1.88175</v>
      </c>
      <c r="G168" s="80">
        <v>1.88175</v>
      </c>
      <c r="H168" s="404">
        <f>G168-F168</f>
        <v>0</v>
      </c>
      <c r="I168" s="404"/>
      <c r="J168" s="404"/>
      <c r="K168" s="465">
        <f>(G168-F168)*D168*E168</f>
        <v>0</v>
      </c>
      <c r="L168" s="896"/>
    </row>
    <row r="169" spans="1:12" s="4" customFormat="1" x14ac:dyDescent="0.2">
      <c r="A169" s="1295"/>
      <c r="B169" s="495" t="s">
        <v>1059</v>
      </c>
      <c r="C169" s="1319">
        <v>44033461</v>
      </c>
      <c r="D169" s="401">
        <v>960000</v>
      </c>
      <c r="E169" s="402">
        <v>1</v>
      </c>
      <c r="F169" s="521">
        <v>2149.4676800000002</v>
      </c>
      <c r="G169" s="521">
        <v>2181.0924799999998</v>
      </c>
      <c r="H169" s="404">
        <f t="shared" ref="H169:H170" si="25">G169-F169</f>
        <v>31.624799999999595</v>
      </c>
      <c r="I169" s="404"/>
      <c r="J169" s="404"/>
      <c r="K169" s="465">
        <f>(G169-F169)*D169*E169</f>
        <v>30359807.999999613</v>
      </c>
      <c r="L169" s="896"/>
    </row>
    <row r="170" spans="1:12" s="4" customFormat="1" x14ac:dyDescent="0.2">
      <c r="A170" s="1295"/>
      <c r="B170" s="495" t="s">
        <v>1060</v>
      </c>
      <c r="C170" s="1320"/>
      <c r="D170" s="401">
        <v>960000</v>
      </c>
      <c r="E170" s="402">
        <v>1</v>
      </c>
      <c r="F170" s="521">
        <v>2.6531500000000001</v>
      </c>
      <c r="G170" s="521">
        <v>2.68269</v>
      </c>
      <c r="H170" s="404">
        <f t="shared" si="25"/>
        <v>2.95399999999999E-2</v>
      </c>
      <c r="I170" s="404"/>
      <c r="J170" s="404"/>
      <c r="K170" s="465">
        <f>(G170-F170)*D170*E170</f>
        <v>28358.399999999903</v>
      </c>
      <c r="L170" s="896"/>
    </row>
    <row r="171" spans="1:12" s="483" customFormat="1" x14ac:dyDescent="0.2">
      <c r="A171" s="1295"/>
      <c r="B171" s="223" t="s">
        <v>1061</v>
      </c>
      <c r="C171" s="62"/>
      <c r="D171" s="62"/>
      <c r="E171" s="110"/>
      <c r="F171" s="64"/>
      <c r="G171" s="64"/>
      <c r="H171" s="65"/>
      <c r="I171" s="112"/>
      <c r="J171" s="112"/>
      <c r="K171" s="1245">
        <f>K167+K169-K168-K170</f>
        <v>30331449.599999614</v>
      </c>
      <c r="L171" s="899">
        <v>21</v>
      </c>
    </row>
    <row r="172" spans="1:12" x14ac:dyDescent="0.2">
      <c r="A172" s="1295"/>
      <c r="B172" s="92" t="s">
        <v>1108</v>
      </c>
      <c r="C172" s="1299" t="s">
        <v>672</v>
      </c>
      <c r="D172" s="78">
        <v>418181.81819999998</v>
      </c>
      <c r="E172" s="79">
        <v>1</v>
      </c>
      <c r="F172" s="521">
        <v>15306.492580308</v>
      </c>
      <c r="G172" s="521">
        <v>15550.326247577999</v>
      </c>
      <c r="H172" s="81">
        <f>G172-F172</f>
        <v>243.83366726999884</v>
      </c>
      <c r="I172" s="81"/>
      <c r="J172" s="81"/>
      <c r="K172" s="198">
        <f>(G172-F172)*D172*E172</f>
        <v>101966806.31734194</v>
      </c>
    </row>
    <row r="173" spans="1:12" x14ac:dyDescent="0.2">
      <c r="A173" s="1295"/>
      <c r="B173" s="92" t="s">
        <v>1108</v>
      </c>
      <c r="C173" s="1300"/>
      <c r="D173" s="78">
        <v>418181.81819999998</v>
      </c>
      <c r="E173" s="79">
        <v>1</v>
      </c>
      <c r="F173" s="521">
        <v>49.641601756</v>
      </c>
      <c r="G173" s="521">
        <v>50.052227430999999</v>
      </c>
      <c r="H173" s="81">
        <f>G173-F173</f>
        <v>0.41062567499999858</v>
      </c>
      <c r="I173" s="81"/>
      <c r="J173" s="81"/>
      <c r="K173" s="198">
        <f>(G173-F173)*D173*E173</f>
        <v>171716.19137110168</v>
      </c>
    </row>
    <row r="174" spans="1:12" x14ac:dyDescent="0.2">
      <c r="A174" s="1295"/>
      <c r="B174" s="92" t="s">
        <v>1109</v>
      </c>
      <c r="C174" s="1299" t="s">
        <v>1110</v>
      </c>
      <c r="D174" s="78">
        <v>209090.90900000001</v>
      </c>
      <c r="E174" s="79">
        <v>1</v>
      </c>
      <c r="F174" s="521">
        <v>12097.102196674001</v>
      </c>
      <c r="G174" s="521">
        <v>12369.187023106</v>
      </c>
      <c r="H174" s="809">
        <f>G174-F174</f>
        <v>272.08482643199932</v>
      </c>
      <c r="I174" s="81"/>
      <c r="J174" s="81"/>
      <c r="K174" s="198">
        <f>(G174-F174)*D174*E174</f>
        <v>56890463.683773965</v>
      </c>
    </row>
    <row r="175" spans="1:12" x14ac:dyDescent="0.2">
      <c r="A175" s="1295"/>
      <c r="B175" s="92" t="s">
        <v>1109</v>
      </c>
      <c r="C175" s="1300"/>
      <c r="D175" s="78">
        <v>209090.90900000001</v>
      </c>
      <c r="E175" s="79">
        <v>1</v>
      </c>
      <c r="F175" s="521">
        <v>219.71438560199999</v>
      </c>
      <c r="G175" s="521">
        <v>220.68323994100001</v>
      </c>
      <c r="H175" s="81">
        <f>G175-F175</f>
        <v>0.96885433900001772</v>
      </c>
      <c r="I175" s="81"/>
      <c r="J175" s="81"/>
      <c r="K175" s="198">
        <f>(G175-F175)*D175*E175</f>
        <v>202578.63443010786</v>
      </c>
    </row>
    <row r="176" spans="1:12" x14ac:dyDescent="0.2">
      <c r="A176" s="1295"/>
      <c r="B176" s="101" t="s">
        <v>367</v>
      </c>
      <c r="C176" s="102"/>
      <c r="D176" s="102"/>
      <c r="E176" s="55"/>
      <c r="F176" s="103"/>
      <c r="G176" s="103"/>
      <c r="H176" s="247"/>
      <c r="I176" s="57"/>
      <c r="J176" s="57"/>
      <c r="K176" s="202">
        <f>K230+K172+K174</f>
        <v>158857270.00111592</v>
      </c>
    </row>
    <row r="177" spans="1:12" x14ac:dyDescent="0.2">
      <c r="A177" s="1295"/>
      <c r="B177" s="101" t="s">
        <v>617</v>
      </c>
      <c r="C177" s="102"/>
      <c r="D177" s="102"/>
      <c r="E177" s="55"/>
      <c r="F177" s="103"/>
      <c r="G177" s="103"/>
      <c r="H177" s="247"/>
      <c r="I177" s="57"/>
      <c r="J177" s="57"/>
      <c r="K177" s="202">
        <f>K231+K173+K175</f>
        <v>374294.82580120955</v>
      </c>
    </row>
    <row r="178" spans="1:12" x14ac:dyDescent="0.2">
      <c r="A178" s="1295"/>
      <c r="B178" s="223" t="s">
        <v>618</v>
      </c>
      <c r="C178" s="62"/>
      <c r="D178" s="62"/>
      <c r="E178" s="63"/>
      <c r="F178" s="64"/>
      <c r="G178" s="64"/>
      <c r="H178" s="65"/>
      <c r="I178" s="66"/>
      <c r="J178" s="66"/>
      <c r="K178" s="1245">
        <f>K176-K177</f>
        <v>158482975.17531469</v>
      </c>
      <c r="L178" s="749">
        <v>22</v>
      </c>
    </row>
    <row r="179" spans="1:12" ht="12" customHeight="1" x14ac:dyDescent="0.2">
      <c r="A179" s="1295"/>
      <c r="B179" s="92" t="s">
        <v>62</v>
      </c>
      <c r="C179" s="78" t="s">
        <v>1316</v>
      </c>
      <c r="D179" s="78">
        <v>960</v>
      </c>
      <c r="E179" s="79">
        <v>1</v>
      </c>
      <c r="F179" s="521">
        <v>442366.67</v>
      </c>
      <c r="G179" s="525">
        <v>449486.85</v>
      </c>
      <c r="H179" s="96">
        <f>G179-F179</f>
        <v>7120.179999999993</v>
      </c>
      <c r="I179" s="81"/>
      <c r="J179" s="81"/>
      <c r="K179" s="612">
        <f>(G179-F179)*D179*E179</f>
        <v>6835372.7999999933</v>
      </c>
    </row>
    <row r="180" spans="1:12" ht="12" customHeight="1" x14ac:dyDescent="0.2">
      <c r="A180" s="1295"/>
      <c r="B180" s="92" t="s">
        <v>64</v>
      </c>
      <c r="C180" s="78" t="s">
        <v>1317</v>
      </c>
      <c r="D180" s="78">
        <v>960</v>
      </c>
      <c r="E180" s="79">
        <v>1</v>
      </c>
      <c r="F180" s="521">
        <v>397695.24</v>
      </c>
      <c r="G180" s="525">
        <v>400788.95</v>
      </c>
      <c r="H180" s="96">
        <f>G180-F180</f>
        <v>3093.710000000021</v>
      </c>
      <c r="I180" s="81"/>
      <c r="J180" s="81"/>
      <c r="K180" s="612">
        <f>(G180-F180)*D180*E180</f>
        <v>2969961.6000000201</v>
      </c>
    </row>
    <row r="181" spans="1:12" ht="12" customHeight="1" x14ac:dyDescent="0.2">
      <c r="A181" s="1295"/>
      <c r="B181" s="101" t="s">
        <v>8</v>
      </c>
      <c r="C181" s="102"/>
      <c r="D181" s="102"/>
      <c r="E181" s="79"/>
      <c r="F181" s="905"/>
      <c r="G181" s="905"/>
      <c r="H181" s="247"/>
      <c r="I181" s="81"/>
      <c r="J181" s="81"/>
      <c r="K181" s="611">
        <f>K179+K180</f>
        <v>9805334.4000000134</v>
      </c>
    </row>
    <row r="182" spans="1:12" ht="12" customHeight="1" x14ac:dyDescent="0.2">
      <c r="A182" s="1295"/>
      <c r="B182" s="92" t="s">
        <v>66</v>
      </c>
      <c r="C182" s="78" t="s">
        <v>1316</v>
      </c>
      <c r="D182" s="78">
        <v>960</v>
      </c>
      <c r="E182" s="79">
        <v>1</v>
      </c>
      <c r="F182" s="521">
        <v>1235.01</v>
      </c>
      <c r="G182" s="521">
        <v>1266.3900000000001</v>
      </c>
      <c r="H182" s="96">
        <f>G182-F182</f>
        <v>31.380000000000109</v>
      </c>
      <c r="I182" s="81"/>
      <c r="J182" s="81"/>
      <c r="K182" s="612">
        <f>(G182-F182)*D182*E182</f>
        <v>30124.800000000105</v>
      </c>
    </row>
    <row r="183" spans="1:12" x14ac:dyDescent="0.2">
      <c r="A183" s="1295"/>
      <c r="B183" s="92" t="s">
        <v>67</v>
      </c>
      <c r="C183" s="78" t="s">
        <v>1317</v>
      </c>
      <c r="D183" s="78">
        <v>960</v>
      </c>
      <c r="E183" s="79">
        <v>1</v>
      </c>
      <c r="F183" s="521">
        <v>2737.94</v>
      </c>
      <c r="G183" s="521">
        <v>2780.22</v>
      </c>
      <c r="H183" s="96">
        <f>G183-F183</f>
        <v>42.279999999999745</v>
      </c>
      <c r="I183" s="81"/>
      <c r="J183" s="81"/>
      <c r="K183" s="612">
        <f>(G183-F183)*D183*E183</f>
        <v>40588.799999999756</v>
      </c>
    </row>
    <row r="184" spans="1:12" x14ac:dyDescent="0.2">
      <c r="A184" s="1295"/>
      <c r="B184" s="101" t="s">
        <v>52</v>
      </c>
      <c r="C184" s="102"/>
      <c r="D184" s="102"/>
      <c r="E184" s="79"/>
      <c r="F184" s="103"/>
      <c r="G184" s="103"/>
      <c r="H184" s="247"/>
      <c r="I184" s="81"/>
      <c r="J184" s="81"/>
      <c r="K184" s="611">
        <f>K182+K183</f>
        <v>70713.59999999986</v>
      </c>
    </row>
    <row r="185" spans="1:12" s="4" customFormat="1" x14ac:dyDescent="0.2">
      <c r="A185" s="1295"/>
      <c r="B185" s="71" t="s">
        <v>68</v>
      </c>
      <c r="C185" s="62"/>
      <c r="D185" s="62"/>
      <c r="E185" s="89"/>
      <c r="F185" s="64"/>
      <c r="G185" s="64"/>
      <c r="H185" s="65"/>
      <c r="I185" s="90"/>
      <c r="J185" s="90"/>
      <c r="K185" s="1245">
        <f>K181-K184</f>
        <v>9734620.8000000138</v>
      </c>
      <c r="L185" s="896">
        <v>23</v>
      </c>
    </row>
    <row r="186" spans="1:12" x14ac:dyDescent="0.2">
      <c r="A186" s="1295"/>
      <c r="B186" s="92" t="s">
        <v>421</v>
      </c>
      <c r="C186" s="78">
        <v>50817684</v>
      </c>
      <c r="D186" s="78">
        <v>480000</v>
      </c>
      <c r="E186" s="79">
        <v>1</v>
      </c>
      <c r="F186" s="521">
        <v>1888.0699</v>
      </c>
      <c r="G186" s="521">
        <v>1888.0699</v>
      </c>
      <c r="H186" s="81">
        <f>G186-F186</f>
        <v>0</v>
      </c>
      <c r="I186" s="81"/>
      <c r="J186" s="81"/>
      <c r="K186" s="198">
        <f>(G186-F186)*D186*E186</f>
        <v>0</v>
      </c>
    </row>
    <row r="187" spans="1:12" x14ac:dyDescent="0.2">
      <c r="A187" s="1295"/>
      <c r="B187" s="92" t="s">
        <v>422</v>
      </c>
      <c r="C187" s="78">
        <v>50817684</v>
      </c>
      <c r="D187" s="78">
        <v>480000</v>
      </c>
      <c r="E187" s="79">
        <v>1</v>
      </c>
      <c r="F187" s="521">
        <v>33.4041</v>
      </c>
      <c r="G187" s="521">
        <v>33.600999999999999</v>
      </c>
      <c r="H187" s="81">
        <f>G187-F187</f>
        <v>0.19689999999999941</v>
      </c>
      <c r="I187" s="81"/>
      <c r="J187" s="81"/>
      <c r="K187" s="198">
        <f>(G187-F187)*D187*E187</f>
        <v>94511.999999999709</v>
      </c>
    </row>
    <row r="188" spans="1:12" x14ac:dyDescent="0.2">
      <c r="A188" s="1295"/>
      <c r="B188" s="223" t="s">
        <v>423</v>
      </c>
      <c r="C188" s="109"/>
      <c r="D188" s="109"/>
      <c r="E188" s="110"/>
      <c r="F188" s="111"/>
      <c r="G188" s="111"/>
      <c r="H188" s="112"/>
      <c r="I188" s="112"/>
      <c r="J188" s="112"/>
      <c r="K188" s="1245">
        <f>K186-K187</f>
        <v>-94511.999999999709</v>
      </c>
      <c r="L188" s="749">
        <v>24</v>
      </c>
    </row>
    <row r="189" spans="1:12" x14ac:dyDescent="0.2">
      <c r="A189" s="1295"/>
      <c r="B189" s="92" t="s">
        <v>1280</v>
      </c>
      <c r="C189" s="1311">
        <v>42334949</v>
      </c>
      <c r="D189" s="78">
        <v>240000</v>
      </c>
      <c r="E189" s="79">
        <v>1</v>
      </c>
      <c r="F189" s="80">
        <v>1090.5773799999999</v>
      </c>
      <c r="G189" s="521">
        <v>1112.5850399999999</v>
      </c>
      <c r="H189" s="81">
        <f>G189-F189</f>
        <v>22.007659999999987</v>
      </c>
      <c r="I189" s="57"/>
      <c r="J189" s="57"/>
      <c r="K189" s="612">
        <f>(G189-F189)*D189*E189</f>
        <v>5281838.3999999966</v>
      </c>
    </row>
    <row r="190" spans="1:12" x14ac:dyDescent="0.2">
      <c r="A190" s="1295"/>
      <c r="B190" s="92" t="s">
        <v>1280</v>
      </c>
      <c r="C190" s="1312"/>
      <c r="D190" s="78">
        <v>240000</v>
      </c>
      <c r="E190" s="79">
        <v>1</v>
      </c>
      <c r="F190" s="80">
        <v>3.5249899999999998</v>
      </c>
      <c r="G190" s="521">
        <v>3.58236</v>
      </c>
      <c r="H190" s="81">
        <f>G190-F190</f>
        <v>5.7370000000000143E-2</v>
      </c>
      <c r="I190" s="57"/>
      <c r="J190" s="57"/>
      <c r="K190" s="612">
        <f>(G190-F190)*D190*E190</f>
        <v>13768.800000000034</v>
      </c>
    </row>
    <row r="191" spans="1:12" x14ac:dyDescent="0.2">
      <c r="A191" s="1295"/>
      <c r="B191" s="223" t="s">
        <v>1281</v>
      </c>
      <c r="C191" s="421"/>
      <c r="D191" s="109"/>
      <c r="E191" s="110"/>
      <c r="F191" s="111"/>
      <c r="G191" s="111"/>
      <c r="H191" s="112"/>
      <c r="I191" s="66"/>
      <c r="J191" s="66"/>
      <c r="K191" s="1245">
        <f>K189-K190</f>
        <v>5268069.5999999968</v>
      </c>
      <c r="L191" s="749">
        <v>25</v>
      </c>
    </row>
    <row r="192" spans="1:12" x14ac:dyDescent="0.2">
      <c r="A192" s="1295"/>
      <c r="B192" s="105" t="s">
        <v>1057</v>
      </c>
      <c r="C192" s="1321" t="s">
        <v>1424</v>
      </c>
      <c r="D192" s="85">
        <v>960000</v>
      </c>
      <c r="E192" s="86">
        <v>1</v>
      </c>
      <c r="F192" s="521">
        <v>462.23726001699998</v>
      </c>
      <c r="G192" s="521">
        <v>462.23726001699998</v>
      </c>
      <c r="H192" s="87">
        <f>G192-F192</f>
        <v>0</v>
      </c>
      <c r="I192" s="87">
        <v>920.40089999999998</v>
      </c>
      <c r="J192" s="87">
        <v>920.40089999999998</v>
      </c>
      <c r="K192" s="200">
        <f>(G192-F192)*D192*E192</f>
        <v>0</v>
      </c>
    </row>
    <row r="193" spans="1:16" x14ac:dyDescent="0.2">
      <c r="A193" s="1295"/>
      <c r="B193" s="105" t="s">
        <v>1058</v>
      </c>
      <c r="C193" s="1322"/>
      <c r="D193" s="85">
        <v>960000</v>
      </c>
      <c r="E193" s="86">
        <v>1</v>
      </c>
      <c r="F193" s="521">
        <v>0.82582027899999999</v>
      </c>
      <c r="G193" s="521">
        <v>0.82582027899999999</v>
      </c>
      <c r="H193" s="87">
        <f>G193-F193</f>
        <v>0</v>
      </c>
      <c r="I193" s="87">
        <v>0.55417499999999997</v>
      </c>
      <c r="J193" s="87">
        <v>0.55417499999999997</v>
      </c>
      <c r="K193" s="200">
        <f>(G193-F193)*D193*E193</f>
        <v>0</v>
      </c>
    </row>
    <row r="194" spans="1:16" s="4" customFormat="1" x14ac:dyDescent="0.2">
      <c r="A194" s="1295"/>
      <c r="B194" s="71" t="s">
        <v>86</v>
      </c>
      <c r="C194" s="62"/>
      <c r="D194" s="62"/>
      <c r="E194" s="89"/>
      <c r="F194" s="64"/>
      <c r="G194" s="64"/>
      <c r="H194" s="90"/>
      <c r="I194" s="90"/>
      <c r="J194" s="90"/>
      <c r="K194" s="1245">
        <f>K192-K193</f>
        <v>0</v>
      </c>
      <c r="L194" s="896">
        <v>26</v>
      </c>
    </row>
    <row r="195" spans="1:16" x14ac:dyDescent="0.2">
      <c r="A195" s="1295"/>
      <c r="B195" s="92" t="s">
        <v>425</v>
      </c>
      <c r="C195" s="78">
        <v>16240983</v>
      </c>
      <c r="D195" s="78">
        <v>669090.90910000005</v>
      </c>
      <c r="E195" s="79">
        <v>1</v>
      </c>
      <c r="F195" s="80">
        <v>2.6368749999999999</v>
      </c>
      <c r="G195" s="80">
        <v>2.6368749999999999</v>
      </c>
      <c r="H195" s="81">
        <f>G195-F195</f>
        <v>0</v>
      </c>
      <c r="I195" s="81">
        <v>0.162775</v>
      </c>
      <c r="J195" s="81">
        <v>0.37292500000000001</v>
      </c>
      <c r="K195" s="198">
        <f>(G195-F195)*D195*E195</f>
        <v>0</v>
      </c>
    </row>
    <row r="196" spans="1:16" x14ac:dyDescent="0.2">
      <c r="A196" s="1295"/>
      <c r="B196" s="92" t="s">
        <v>426</v>
      </c>
      <c r="C196" s="78">
        <v>16240983</v>
      </c>
      <c r="D196" s="78">
        <v>669090.90910000005</v>
      </c>
      <c r="E196" s="79">
        <v>1</v>
      </c>
      <c r="F196" s="80">
        <v>2.7000000000000001E-3</v>
      </c>
      <c r="G196" s="80">
        <v>2.7000000000000001E-3</v>
      </c>
      <c r="H196" s="81">
        <f>G196-F196</f>
        <v>0</v>
      </c>
      <c r="I196" s="81">
        <v>1.525E-2</v>
      </c>
      <c r="J196" s="81">
        <v>0.10402500000000001</v>
      </c>
      <c r="K196" s="198">
        <f>(G196-F196)*D196*E196</f>
        <v>0</v>
      </c>
    </row>
    <row r="197" spans="1:16" x14ac:dyDescent="0.2">
      <c r="A197" s="1295"/>
      <c r="B197" s="92"/>
      <c r="C197" s="78"/>
      <c r="D197" s="78"/>
      <c r="E197" s="79"/>
      <c r="F197" s="80"/>
      <c r="G197" s="80"/>
      <c r="H197" s="81"/>
      <c r="I197" s="81"/>
      <c r="J197" s="81"/>
      <c r="K197" s="202">
        <f>K195-K196</f>
        <v>0</v>
      </c>
    </row>
    <row r="198" spans="1:16" x14ac:dyDescent="0.2">
      <c r="A198" s="1295"/>
      <c r="B198" s="92" t="s">
        <v>427</v>
      </c>
      <c r="C198" s="78">
        <v>16240984</v>
      </c>
      <c r="D198" s="78">
        <v>669090.90910000005</v>
      </c>
      <c r="E198" s="79">
        <v>1</v>
      </c>
      <c r="F198" s="521">
        <v>18224.299074999999</v>
      </c>
      <c r="G198" s="521">
        <v>18458.86305</v>
      </c>
      <c r="H198" s="81">
        <f>G198-F198</f>
        <v>234.56397500000094</v>
      </c>
      <c r="I198" s="81"/>
      <c r="J198" s="81"/>
      <c r="K198" s="198">
        <f>(G198-F198)*D198*E198</f>
        <v>156944623.27486032</v>
      </c>
    </row>
    <row r="199" spans="1:16" x14ac:dyDescent="0.2">
      <c r="A199" s="1295"/>
      <c r="B199" s="92" t="s">
        <v>428</v>
      </c>
      <c r="C199" s="78">
        <v>16240984</v>
      </c>
      <c r="D199" s="78">
        <v>669090.90910000005</v>
      </c>
      <c r="E199" s="79">
        <v>1</v>
      </c>
      <c r="F199" s="521">
        <v>64.478624999999994</v>
      </c>
      <c r="G199" s="521">
        <v>64.478624999999994</v>
      </c>
      <c r="H199" s="81">
        <f>G199-F199</f>
        <v>0</v>
      </c>
      <c r="I199" s="81"/>
      <c r="J199" s="81"/>
      <c r="K199" s="198">
        <f>(G199-F199)*D199*E199</f>
        <v>0</v>
      </c>
    </row>
    <row r="200" spans="1:16" x14ac:dyDescent="0.2">
      <c r="A200" s="1295"/>
      <c r="B200" s="92"/>
      <c r="C200" s="78"/>
      <c r="D200" s="78"/>
      <c r="E200" s="79"/>
      <c r="F200" s="80"/>
      <c r="G200" s="80"/>
      <c r="H200" s="81"/>
      <c r="I200" s="81"/>
      <c r="J200" s="81"/>
      <c r="K200" s="202">
        <f>K198-K199</f>
        <v>156944623.27486032</v>
      </c>
    </row>
    <row r="201" spans="1:16" s="4" customFormat="1" x14ac:dyDescent="0.2">
      <c r="A201" s="1295"/>
      <c r="B201" s="71" t="s">
        <v>429</v>
      </c>
      <c r="C201" s="62"/>
      <c r="D201" s="62"/>
      <c r="E201" s="63"/>
      <c r="F201" s="64"/>
      <c r="G201" s="64"/>
      <c r="H201" s="65"/>
      <c r="I201" s="66"/>
      <c r="J201" s="66"/>
      <c r="K201" s="1245">
        <f>K197+K200</f>
        <v>156944623.27486032</v>
      </c>
      <c r="L201" s="896">
        <v>27</v>
      </c>
      <c r="N201" s="1259" t="s">
        <v>1643</v>
      </c>
      <c r="O201" s="1259" t="s">
        <v>1644</v>
      </c>
    </row>
    <row r="202" spans="1:16" x14ac:dyDescent="0.2">
      <c r="A202" s="1295"/>
      <c r="B202" s="92" t="s">
        <v>452</v>
      </c>
      <c r="C202" s="78" t="s">
        <v>1641</v>
      </c>
      <c r="D202" s="78">
        <v>480000</v>
      </c>
      <c r="E202" s="79">
        <v>1</v>
      </c>
      <c r="F202" s="521">
        <v>66.314905030000006</v>
      </c>
      <c r="G202" s="521">
        <v>71.384134814000006</v>
      </c>
      <c r="H202" s="81">
        <f>G202-F202</f>
        <v>5.0692297840000009</v>
      </c>
      <c r="I202" s="81"/>
      <c r="J202" s="81"/>
      <c r="K202" s="198">
        <f>(G202-F202)*D202*E202</f>
        <v>2433230.2963200007</v>
      </c>
      <c r="M202" s="1288" t="s">
        <v>1642</v>
      </c>
      <c r="N202" s="2">
        <v>4211.655503</v>
      </c>
      <c r="O202" s="2">
        <v>4213.9591829999999</v>
      </c>
      <c r="P202" s="1290" t="s">
        <v>1645</v>
      </c>
    </row>
    <row r="203" spans="1:16" x14ac:dyDescent="0.2">
      <c r="A203" s="1295"/>
      <c r="B203" s="92" t="s">
        <v>453</v>
      </c>
      <c r="C203" s="78" t="s">
        <v>1641</v>
      </c>
      <c r="D203" s="78">
        <v>480000</v>
      </c>
      <c r="E203" s="79">
        <v>1</v>
      </c>
      <c r="F203" s="521">
        <v>0.900966504</v>
      </c>
      <c r="G203" s="521">
        <v>1.1980990119999999</v>
      </c>
      <c r="H203" s="81">
        <f>G203-F203</f>
        <v>0.29713250799999991</v>
      </c>
      <c r="I203" s="81"/>
      <c r="J203" s="81"/>
      <c r="K203" s="198">
        <f>(G203-F203)*D203*E203</f>
        <v>142623.60383999997</v>
      </c>
      <c r="M203" s="1289"/>
      <c r="N203" s="2">
        <v>7.8640619999999997</v>
      </c>
      <c r="O203" s="2">
        <v>8.1678540000000002</v>
      </c>
      <c r="P203" s="1291"/>
    </row>
    <row r="204" spans="1:16" s="20" customFormat="1" x14ac:dyDescent="0.2">
      <c r="A204" s="1295"/>
      <c r="B204" s="223" t="s">
        <v>466</v>
      </c>
      <c r="C204" s="62"/>
      <c r="D204" s="62"/>
      <c r="E204" s="63"/>
      <c r="F204" s="64"/>
      <c r="G204" s="64"/>
      <c r="H204" s="65"/>
      <c r="I204" s="66"/>
      <c r="J204" s="66"/>
      <c r="K204" s="1245">
        <f>K202-K203</f>
        <v>2290606.6924800007</v>
      </c>
      <c r="L204" s="926">
        <v>28</v>
      </c>
    </row>
    <row r="205" spans="1:16" x14ac:dyDescent="0.2">
      <c r="A205" s="1295"/>
      <c r="B205" s="92" t="s">
        <v>637</v>
      </c>
      <c r="C205" s="1299">
        <v>38980968</v>
      </c>
      <c r="D205" s="78">
        <v>2509090.909</v>
      </c>
      <c r="E205" s="79">
        <v>1</v>
      </c>
      <c r="F205" s="521">
        <v>2434.1206000000002</v>
      </c>
      <c r="G205" s="521">
        <v>2440.8252000000002</v>
      </c>
      <c r="H205" s="81">
        <f>G205-F205</f>
        <v>6.7046000000000276</v>
      </c>
      <c r="I205" s="57"/>
      <c r="J205" s="57"/>
      <c r="K205" s="198">
        <f>(G205-F205)*D205*E205</f>
        <v>16822450.908481468</v>
      </c>
      <c r="O205" s="2">
        <v>1135408.8273599928</v>
      </c>
    </row>
    <row r="206" spans="1:16" x14ac:dyDescent="0.2">
      <c r="A206" s="1295"/>
      <c r="B206" s="92" t="s">
        <v>637</v>
      </c>
      <c r="C206" s="1300"/>
      <c r="D206" s="78">
        <v>2509090.909</v>
      </c>
      <c r="E206" s="79">
        <v>1</v>
      </c>
      <c r="F206" s="521">
        <v>5.9858000000000002</v>
      </c>
      <c r="G206" s="521">
        <v>6.1380999999999997</v>
      </c>
      <c r="H206" s="81">
        <f>G206-F206</f>
        <v>0.15229999999999944</v>
      </c>
      <c r="I206" s="57"/>
      <c r="J206" s="57"/>
      <c r="K206" s="198">
        <f>(G206-F206)*D206*E206</f>
        <v>382134.54544069857</v>
      </c>
      <c r="O206" s="6">
        <f>O205-K204</f>
        <v>-1155197.8651200079</v>
      </c>
    </row>
    <row r="207" spans="1:16" x14ac:dyDescent="0.2">
      <c r="A207" s="1295"/>
      <c r="B207" s="223" t="s">
        <v>638</v>
      </c>
      <c r="C207" s="62"/>
      <c r="D207" s="62"/>
      <c r="E207" s="63"/>
      <c r="F207" s="64"/>
      <c r="G207" s="64"/>
      <c r="H207" s="64"/>
      <c r="I207" s="66"/>
      <c r="J207" s="66"/>
      <c r="K207" s="1245">
        <f>K205-K206</f>
        <v>16440316.363040769</v>
      </c>
      <c r="L207" s="749">
        <v>29</v>
      </c>
    </row>
    <row r="208" spans="1:16" x14ac:dyDescent="0.2">
      <c r="A208" s="1295"/>
      <c r="B208" s="1315" t="s">
        <v>1546</v>
      </c>
      <c r="C208" s="1299" t="s">
        <v>1545</v>
      </c>
      <c r="D208" s="78">
        <v>4545454.5454550004</v>
      </c>
      <c r="E208" s="79">
        <v>1</v>
      </c>
      <c r="F208" s="80">
        <v>355.67381339899998</v>
      </c>
      <c r="G208" s="521">
        <v>384.44509355600002</v>
      </c>
      <c r="H208" s="81">
        <f t="shared" ref="H208:H209" si="26">G208-F208</f>
        <v>28.771280157000035</v>
      </c>
      <c r="I208" s="81"/>
      <c r="J208" s="81"/>
      <c r="K208" s="612">
        <f>(G208-F208)*D208*E208</f>
        <v>130778546.16819507</v>
      </c>
    </row>
    <row r="209" spans="1:14" x14ac:dyDescent="0.2">
      <c r="A209" s="1295"/>
      <c r="B209" s="1316"/>
      <c r="C209" s="1300"/>
      <c r="D209" s="78">
        <v>4545454.5454550004</v>
      </c>
      <c r="E209" s="79">
        <v>1</v>
      </c>
      <c r="F209" s="80">
        <v>6.4835447750000004</v>
      </c>
      <c r="G209" s="521">
        <v>6.7278863390000003</v>
      </c>
      <c r="H209" s="81">
        <f t="shared" si="26"/>
        <v>0.24434156399999996</v>
      </c>
      <c r="I209" s="81"/>
      <c r="J209" s="81"/>
      <c r="K209" s="612">
        <f>(G209-F209)*D209*E209</f>
        <v>1110643.4727273837</v>
      </c>
    </row>
    <row r="210" spans="1:14" x14ac:dyDescent="0.2">
      <c r="A210" s="1295"/>
      <c r="B210" s="223" t="s">
        <v>1572</v>
      </c>
      <c r="C210" s="987"/>
      <c r="D210" s="62"/>
      <c r="E210" s="63"/>
      <c r="F210" s="64"/>
      <c r="G210" s="64"/>
      <c r="H210" s="65"/>
      <c r="I210" s="66"/>
      <c r="J210" s="66"/>
      <c r="K210" s="1245">
        <f>K208-K209</f>
        <v>129667902.69546768</v>
      </c>
      <c r="L210" s="749">
        <v>30</v>
      </c>
    </row>
    <row r="211" spans="1:14" x14ac:dyDescent="0.2">
      <c r="A211" s="1295"/>
      <c r="B211" s="1315" t="s">
        <v>1542</v>
      </c>
      <c r="C211" s="1299" t="s">
        <v>1544</v>
      </c>
      <c r="D211" s="78">
        <v>4545454.5454550004</v>
      </c>
      <c r="E211" s="79">
        <v>1</v>
      </c>
      <c r="F211" s="521">
        <v>325.03346499999998</v>
      </c>
      <c r="G211" s="521">
        <v>377.07115720000002</v>
      </c>
      <c r="H211" s="81">
        <f>G211-F211</f>
        <v>52.037692200000038</v>
      </c>
      <c r="I211" s="57"/>
      <c r="J211" s="57"/>
      <c r="K211" s="198">
        <f>(G211-F211)*D211*E211</f>
        <v>236534964.5454784</v>
      </c>
    </row>
    <row r="212" spans="1:14" x14ac:dyDescent="0.2">
      <c r="A212" s="1295"/>
      <c r="B212" s="1316"/>
      <c r="C212" s="1300"/>
      <c r="D212" s="78">
        <v>4545454.5454550004</v>
      </c>
      <c r="E212" s="79">
        <v>1</v>
      </c>
      <c r="F212" s="521">
        <v>6.205004583</v>
      </c>
      <c r="G212" s="521">
        <v>6.3078433570000003</v>
      </c>
      <c r="H212" s="81">
        <f>G212-F212</f>
        <v>0.1028387740000003</v>
      </c>
      <c r="I212" s="57"/>
      <c r="J212" s="57"/>
      <c r="K212" s="198">
        <f>(G212-F212)*D212*E212</f>
        <v>467448.97272732086</v>
      </c>
    </row>
    <row r="213" spans="1:14" x14ac:dyDescent="0.2">
      <c r="A213" s="1295"/>
      <c r="B213" s="223" t="s">
        <v>1543</v>
      </c>
      <c r="C213" s="987"/>
      <c r="D213" s="62"/>
      <c r="E213" s="63"/>
      <c r="F213" s="64"/>
      <c r="G213" s="64"/>
      <c r="H213" s="65"/>
      <c r="I213" s="66"/>
      <c r="J213" s="66"/>
      <c r="K213" s="1245">
        <f>K211-K212</f>
        <v>236067515.57275108</v>
      </c>
      <c r="L213" s="749">
        <v>31</v>
      </c>
    </row>
    <row r="214" spans="1:14" x14ac:dyDescent="0.2">
      <c r="A214" s="1295"/>
      <c r="B214" s="1043" t="s">
        <v>320</v>
      </c>
      <c r="C214" s="1044">
        <v>8993654</v>
      </c>
      <c r="D214" s="1044">
        <v>600000</v>
      </c>
      <c r="E214" s="1045">
        <v>1</v>
      </c>
      <c r="F214" s="1046">
        <v>1421.9739999999999</v>
      </c>
      <c r="G214" s="1046">
        <v>1421.9739999999999</v>
      </c>
      <c r="H214" s="1050">
        <f t="shared" si="18"/>
        <v>0</v>
      </c>
      <c r="I214" s="1050">
        <v>99.36</v>
      </c>
      <c r="J214" s="1050">
        <v>99.36</v>
      </c>
      <c r="K214" s="1056">
        <f>H214*D214*E214</f>
        <v>0</v>
      </c>
    </row>
    <row r="215" spans="1:14" x14ac:dyDescent="0.2">
      <c r="A215" s="1295"/>
      <c r="B215" s="1043" t="s">
        <v>321</v>
      </c>
      <c r="C215" s="1044">
        <v>8993658</v>
      </c>
      <c r="D215" s="1044">
        <v>600000</v>
      </c>
      <c r="E215" s="1045">
        <v>1</v>
      </c>
      <c r="F215" s="1046">
        <v>1398.8869999999999</v>
      </c>
      <c r="G215" s="1046">
        <v>1398.8869999999999</v>
      </c>
      <c r="H215" s="1050">
        <f t="shared" si="18"/>
        <v>0</v>
      </c>
      <c r="I215" s="1050">
        <v>119.354</v>
      </c>
      <c r="J215" s="1050">
        <v>119.354</v>
      </c>
      <c r="K215" s="1056">
        <f>H215*D215*E215</f>
        <v>0</v>
      </c>
    </row>
    <row r="216" spans="1:14" x14ac:dyDescent="0.2">
      <c r="A216" s="1295"/>
      <c r="B216" s="1060" t="s">
        <v>8</v>
      </c>
      <c r="C216" s="1044"/>
      <c r="D216" s="1044"/>
      <c r="E216" s="1045"/>
      <c r="F216" s="1046"/>
      <c r="G216" s="1046"/>
      <c r="H216" s="1050"/>
      <c r="I216" s="1050"/>
      <c r="J216" s="1050"/>
      <c r="K216" s="1059">
        <f>K214+K215</f>
        <v>0</v>
      </c>
    </row>
    <row r="217" spans="1:14" x14ac:dyDescent="0.2">
      <c r="A217" s="1295"/>
      <c r="B217" s="1043" t="s">
        <v>322</v>
      </c>
      <c r="C217" s="1044">
        <v>8993654</v>
      </c>
      <c r="D217" s="1044">
        <v>600000</v>
      </c>
      <c r="E217" s="1045">
        <v>1</v>
      </c>
      <c r="F217" s="1046">
        <v>3.1829999999999998</v>
      </c>
      <c r="G217" s="1046">
        <v>3.1829999999999998</v>
      </c>
      <c r="H217" s="1050">
        <f t="shared" si="18"/>
        <v>0</v>
      </c>
      <c r="I217" s="1050">
        <v>1.9890000000000001</v>
      </c>
      <c r="J217" s="1050">
        <v>1.9890000000000001</v>
      </c>
      <c r="K217" s="1056">
        <f>H217*D217*E217</f>
        <v>0</v>
      </c>
      <c r="N217" s="6">
        <f>K220+K48+K223+K229</f>
        <v>27436692.902400851</v>
      </c>
    </row>
    <row r="218" spans="1:14" x14ac:dyDescent="0.2">
      <c r="A218" s="1295"/>
      <c r="B218" s="1043" t="s">
        <v>323</v>
      </c>
      <c r="C218" s="1044">
        <v>8993658</v>
      </c>
      <c r="D218" s="1044">
        <v>600000</v>
      </c>
      <c r="E218" s="1045">
        <v>1</v>
      </c>
      <c r="F218" s="1061">
        <v>39.954999999999998</v>
      </c>
      <c r="G218" s="1061">
        <v>39.959000000000003</v>
      </c>
      <c r="H218" s="1050">
        <f t="shared" si="18"/>
        <v>4.0000000000048885E-3</v>
      </c>
      <c r="I218" s="1050">
        <v>10.105</v>
      </c>
      <c r="J218" s="1050">
        <v>10.105</v>
      </c>
      <c r="K218" s="1056">
        <f>H218*D218*E218</f>
        <v>2400.0000000029331</v>
      </c>
    </row>
    <row r="219" spans="1:14" x14ac:dyDescent="0.2">
      <c r="A219" s="1295"/>
      <c r="B219" s="88" t="s">
        <v>52</v>
      </c>
      <c r="C219" s="85"/>
      <c r="D219" s="85"/>
      <c r="E219" s="86"/>
      <c r="F219" s="94"/>
      <c r="G219" s="94"/>
      <c r="H219" s="87"/>
      <c r="I219" s="87"/>
      <c r="J219" s="87"/>
      <c r="K219" s="195">
        <f>K217+K218</f>
        <v>2400.0000000029331</v>
      </c>
    </row>
    <row r="220" spans="1:14" s="4" customFormat="1" x14ac:dyDescent="0.2">
      <c r="A220" s="1295"/>
      <c r="B220" s="71" t="s">
        <v>1039</v>
      </c>
      <c r="C220" s="62"/>
      <c r="D220" s="62"/>
      <c r="E220" s="89"/>
      <c r="F220" s="64"/>
      <c r="G220" s="64"/>
      <c r="H220" s="65"/>
      <c r="I220" s="90"/>
      <c r="J220" s="90"/>
      <c r="K220" s="1245">
        <f>K216-K219</f>
        <v>-2400.0000000029331</v>
      </c>
      <c r="L220" s="950" t="s">
        <v>1605</v>
      </c>
    </row>
    <row r="221" spans="1:14" x14ac:dyDescent="0.2">
      <c r="A221" s="1295"/>
      <c r="B221" s="1043" t="s">
        <v>1569</v>
      </c>
      <c r="C221" s="1313">
        <v>43168844</v>
      </c>
      <c r="D221" s="1044">
        <v>1320000</v>
      </c>
      <c r="E221" s="1045">
        <v>1</v>
      </c>
      <c r="F221" s="1046">
        <v>6.266</v>
      </c>
      <c r="G221" s="1046">
        <v>6.266</v>
      </c>
      <c r="H221" s="1047">
        <f>G221-F221</f>
        <v>0</v>
      </c>
      <c r="I221" s="1048"/>
      <c r="J221" s="1048"/>
      <c r="K221" s="1049">
        <f>(G221-F221)*D221*E221</f>
        <v>0</v>
      </c>
      <c r="L221" s="907"/>
    </row>
    <row r="222" spans="1:14" x14ac:dyDescent="0.2">
      <c r="A222" s="1295"/>
      <c r="B222" s="1043" t="s">
        <v>1570</v>
      </c>
      <c r="C222" s="1314"/>
      <c r="D222" s="1044">
        <v>1320000</v>
      </c>
      <c r="E222" s="1045">
        <v>1</v>
      </c>
      <c r="F222" s="1046">
        <v>2.2469999999999999</v>
      </c>
      <c r="G222" s="1046">
        <v>2.2490000000000001</v>
      </c>
      <c r="H222" s="1047">
        <f>G222-F222</f>
        <v>2.0000000000002238E-3</v>
      </c>
      <c r="I222" s="1050"/>
      <c r="J222" s="1050"/>
      <c r="K222" s="1049">
        <f>(G222-F222)*D222*E222</f>
        <v>2640.0000000002956</v>
      </c>
    </row>
    <row r="223" spans="1:14" s="4" customFormat="1" x14ac:dyDescent="0.2">
      <c r="A223" s="1295"/>
      <c r="B223" s="71" t="s">
        <v>1571</v>
      </c>
      <c r="C223" s="62"/>
      <c r="D223" s="62"/>
      <c r="E223" s="89"/>
      <c r="F223" s="64"/>
      <c r="G223" s="64"/>
      <c r="H223" s="65"/>
      <c r="I223" s="91"/>
      <c r="J223" s="91"/>
      <c r="K223" s="588">
        <f>K221-K222</f>
        <v>-2640.0000000002956</v>
      </c>
      <c r="L223" s="950" t="s">
        <v>1607</v>
      </c>
    </row>
    <row r="224" spans="1:14" x14ac:dyDescent="0.2">
      <c r="A224" s="1295"/>
      <c r="B224" s="1043" t="s">
        <v>58</v>
      </c>
      <c r="C224" s="1051">
        <v>50499365</v>
      </c>
      <c r="D224" s="1051">
        <v>315000</v>
      </c>
      <c r="E224" s="1052">
        <v>1</v>
      </c>
      <c r="F224" s="1053">
        <v>1152.19</v>
      </c>
      <c r="G224" s="1053">
        <v>1152.19</v>
      </c>
      <c r="H224" s="1054">
        <f>G224-F224</f>
        <v>0</v>
      </c>
      <c r="I224" s="1055"/>
      <c r="J224" s="1055"/>
      <c r="K224" s="1056">
        <f>(G224-F224)*D224*E224</f>
        <v>0</v>
      </c>
    </row>
    <row r="225" spans="1:12" x14ac:dyDescent="0.2">
      <c r="A225" s="1295"/>
      <c r="B225" s="1057" t="s">
        <v>8</v>
      </c>
      <c r="C225" s="1051"/>
      <c r="D225" s="1051"/>
      <c r="E225" s="1052"/>
      <c r="F225" s="1058"/>
      <c r="G225" s="1058"/>
      <c r="H225" s="1055"/>
      <c r="I225" s="1055"/>
      <c r="J225" s="1055"/>
      <c r="K225" s="1059">
        <v>0</v>
      </c>
    </row>
    <row r="226" spans="1:12" x14ac:dyDescent="0.2">
      <c r="A226" s="1295"/>
      <c r="B226" s="1043" t="s">
        <v>59</v>
      </c>
      <c r="C226" s="1044">
        <v>50499366</v>
      </c>
      <c r="D226" s="1051">
        <v>26400</v>
      </c>
      <c r="E226" s="1052">
        <v>1</v>
      </c>
      <c r="F226" s="1058">
        <v>600.24800000000005</v>
      </c>
      <c r="G226" s="1058">
        <v>600.99800000000005</v>
      </c>
      <c r="H226" s="1055">
        <f>G226-F226</f>
        <v>0.75</v>
      </c>
      <c r="I226" s="1055"/>
      <c r="J226" s="1055"/>
      <c r="K226" s="1056">
        <f>(G226-F226)*D226*E226</f>
        <v>19800</v>
      </c>
    </row>
    <row r="227" spans="1:12" x14ac:dyDescent="0.2">
      <c r="A227" s="1295"/>
      <c r="B227" s="1043" t="s">
        <v>60</v>
      </c>
      <c r="C227" s="1044">
        <v>50501520</v>
      </c>
      <c r="D227" s="1051">
        <v>26400</v>
      </c>
      <c r="E227" s="1052">
        <v>1</v>
      </c>
      <c r="F227" s="1058">
        <v>421.84899999999999</v>
      </c>
      <c r="G227" s="1058">
        <v>423.041</v>
      </c>
      <c r="H227" s="1055">
        <f>G227-F227</f>
        <v>1.1920000000000073</v>
      </c>
      <c r="I227" s="1055"/>
      <c r="J227" s="1055"/>
      <c r="K227" s="1056">
        <f>(G227-F227)*D227*E227</f>
        <v>31468.800000000192</v>
      </c>
    </row>
    <row r="228" spans="1:12" x14ac:dyDescent="0.2">
      <c r="A228" s="1295"/>
      <c r="B228" s="88" t="s">
        <v>52</v>
      </c>
      <c r="C228" s="98"/>
      <c r="D228" s="43"/>
      <c r="E228" s="44"/>
      <c r="F228" s="70"/>
      <c r="G228" s="70"/>
      <c r="H228" s="53"/>
      <c r="I228" s="46"/>
      <c r="J228" s="46"/>
      <c r="K228" s="815">
        <f>K226+K227</f>
        <v>51268.800000000192</v>
      </c>
    </row>
    <row r="229" spans="1:12" s="4" customFormat="1" x14ac:dyDescent="0.2">
      <c r="A229" s="1295"/>
      <c r="B229" s="71" t="s">
        <v>61</v>
      </c>
      <c r="C229" s="62"/>
      <c r="D229" s="62"/>
      <c r="E229" s="63"/>
      <c r="F229" s="64"/>
      <c r="G229" s="64"/>
      <c r="H229" s="65"/>
      <c r="I229" s="66"/>
      <c r="J229" s="66"/>
      <c r="K229" s="1245">
        <f>K225-K228</f>
        <v>-51268.800000000192</v>
      </c>
      <c r="L229" s="950" t="s">
        <v>1606</v>
      </c>
    </row>
    <row r="230" spans="1:12" hidden="1" x14ac:dyDescent="0.2">
      <c r="A230" s="1295"/>
      <c r="B230" s="408" t="s">
        <v>615</v>
      </c>
      <c r="C230" s="1302" t="s">
        <v>616</v>
      </c>
      <c r="D230" s="409">
        <v>418181.81819999998</v>
      </c>
      <c r="E230" s="410">
        <v>1</v>
      </c>
      <c r="F230" s="411">
        <v>1428.9010000000001</v>
      </c>
      <c r="G230" s="411">
        <v>1428.9010000000001</v>
      </c>
      <c r="H230" s="412">
        <f t="shared" ref="H230:H231" si="27">G230-F230</f>
        <v>0</v>
      </c>
      <c r="I230" s="412"/>
      <c r="J230" s="412"/>
      <c r="K230" s="413">
        <f t="shared" ref="K230:K231" si="28">(G230-F230)*D230*E230</f>
        <v>0</v>
      </c>
    </row>
    <row r="231" spans="1:12" hidden="1" x14ac:dyDescent="0.2">
      <c r="A231" s="1295"/>
      <c r="B231" s="408" t="s">
        <v>615</v>
      </c>
      <c r="C231" s="1303"/>
      <c r="D231" s="409">
        <v>418181.81819999998</v>
      </c>
      <c r="E231" s="410">
        <v>1</v>
      </c>
      <c r="F231" s="411">
        <v>26.65</v>
      </c>
      <c r="G231" s="411">
        <v>26.65</v>
      </c>
      <c r="H231" s="412">
        <f t="shared" si="27"/>
        <v>0</v>
      </c>
      <c r="I231" s="412"/>
      <c r="J231" s="412"/>
      <c r="K231" s="413">
        <f t="shared" si="28"/>
        <v>0</v>
      </c>
    </row>
    <row r="232" spans="1:12" hidden="1" x14ac:dyDescent="0.2">
      <c r="A232" s="1295"/>
      <c r="B232" s="888" t="s">
        <v>62</v>
      </c>
      <c r="C232" s="889" t="s">
        <v>63</v>
      </c>
      <c r="D232" s="845">
        <v>960000</v>
      </c>
      <c r="E232" s="846">
        <v>1</v>
      </c>
      <c r="F232" s="847">
        <v>3149.2275500000001</v>
      </c>
      <c r="G232" s="847">
        <v>3149.2275500000001</v>
      </c>
      <c r="H232" s="848">
        <f>G232-F232</f>
        <v>0</v>
      </c>
      <c r="I232" s="848">
        <v>381.46147500000001</v>
      </c>
      <c r="J232" s="848">
        <v>381.46147500000001</v>
      </c>
      <c r="K232" s="849">
        <f>(G232-F232)*D232*E232</f>
        <v>0</v>
      </c>
    </row>
    <row r="233" spans="1:12" hidden="1" x14ac:dyDescent="0.2">
      <c r="A233" s="1295"/>
      <c r="B233" s="888" t="s">
        <v>64</v>
      </c>
      <c r="C233" s="889" t="s">
        <v>65</v>
      </c>
      <c r="D233" s="845">
        <v>960000</v>
      </c>
      <c r="E233" s="846">
        <v>1</v>
      </c>
      <c r="F233" s="847">
        <v>3566.2668250000002</v>
      </c>
      <c r="G233" s="847">
        <v>3566.2668250000002</v>
      </c>
      <c r="H233" s="848">
        <f>G233-F233</f>
        <v>0</v>
      </c>
      <c r="I233" s="848">
        <v>484.78357499999998</v>
      </c>
      <c r="J233" s="848">
        <v>484.78357499999998</v>
      </c>
      <c r="K233" s="849">
        <f>(G233-F233)*D233*E233</f>
        <v>0</v>
      </c>
    </row>
    <row r="234" spans="1:12" hidden="1" x14ac:dyDescent="0.2">
      <c r="A234" s="1295"/>
      <c r="B234" s="864" t="s">
        <v>8</v>
      </c>
      <c r="C234" s="845"/>
      <c r="D234" s="845"/>
      <c r="E234" s="846"/>
      <c r="F234" s="847"/>
      <c r="G234" s="847"/>
      <c r="H234" s="848"/>
      <c r="I234" s="848"/>
      <c r="J234" s="848"/>
      <c r="K234" s="853">
        <f>K232+K233</f>
        <v>0</v>
      </c>
    </row>
    <row r="235" spans="1:12" hidden="1" x14ac:dyDescent="0.2">
      <c r="A235" s="1295"/>
      <c r="B235" s="888" t="s">
        <v>66</v>
      </c>
      <c r="C235" s="889" t="s">
        <v>63</v>
      </c>
      <c r="D235" s="845">
        <v>960000</v>
      </c>
      <c r="E235" s="846">
        <v>1</v>
      </c>
      <c r="F235" s="847">
        <v>49.620224999999998</v>
      </c>
      <c r="G235" s="847">
        <v>49.620224999999998</v>
      </c>
      <c r="H235" s="848">
        <f>G235-F235</f>
        <v>0</v>
      </c>
      <c r="I235" s="848">
        <v>29.200074999999998</v>
      </c>
      <c r="J235" s="848">
        <v>29.200074999999998</v>
      </c>
      <c r="K235" s="849">
        <f>(G235-F235)*D235*E235</f>
        <v>0</v>
      </c>
    </row>
    <row r="236" spans="1:12" hidden="1" x14ac:dyDescent="0.2">
      <c r="A236" s="1295"/>
      <c r="B236" s="888" t="s">
        <v>67</v>
      </c>
      <c r="C236" s="889" t="s">
        <v>65</v>
      </c>
      <c r="D236" s="845">
        <v>960000</v>
      </c>
      <c r="E236" s="846">
        <v>1</v>
      </c>
      <c r="F236" s="848">
        <v>28.052675000000001</v>
      </c>
      <c r="G236" s="848">
        <v>28.052675000000001</v>
      </c>
      <c r="H236" s="848">
        <f>G236-F236</f>
        <v>0</v>
      </c>
      <c r="I236" s="848">
        <v>19.666499999999999</v>
      </c>
      <c r="J236" s="848">
        <v>19.666499999999999</v>
      </c>
      <c r="K236" s="849">
        <f>(G236-F236)*D236*E236</f>
        <v>0</v>
      </c>
    </row>
    <row r="237" spans="1:12" hidden="1" x14ac:dyDescent="0.2">
      <c r="A237" s="1295"/>
      <c r="B237" s="864" t="s">
        <v>52</v>
      </c>
      <c r="C237" s="845"/>
      <c r="D237" s="845"/>
      <c r="E237" s="846"/>
      <c r="F237" s="847"/>
      <c r="G237" s="847"/>
      <c r="H237" s="861"/>
      <c r="I237" s="848"/>
      <c r="J237" s="848"/>
      <c r="K237" s="853">
        <f>K235+K236</f>
        <v>0</v>
      </c>
    </row>
    <row r="238" spans="1:12" s="4" customFormat="1" ht="12" hidden="1" customHeight="1" x14ac:dyDescent="0.2">
      <c r="A238" s="1295"/>
      <c r="B238" s="71" t="s">
        <v>68</v>
      </c>
      <c r="C238" s="62"/>
      <c r="D238" s="62"/>
      <c r="E238" s="89"/>
      <c r="F238" s="64"/>
      <c r="G238" s="64"/>
      <c r="H238" s="65"/>
      <c r="I238" s="90"/>
      <c r="J238" s="90"/>
      <c r="K238" s="576">
        <f>K234-K237</f>
        <v>0</v>
      </c>
      <c r="L238" s="896"/>
    </row>
    <row r="239" spans="1:12" hidden="1" x14ac:dyDescent="0.2">
      <c r="A239" s="1295"/>
      <c r="B239" s="1125" t="s">
        <v>69</v>
      </c>
      <c r="C239" s="1126" t="s">
        <v>70</v>
      </c>
      <c r="D239" s="991">
        <v>1000</v>
      </c>
      <c r="E239" s="1127">
        <v>1</v>
      </c>
      <c r="F239" s="1128">
        <v>153099.42000000001</v>
      </c>
      <c r="G239" s="1128">
        <v>153099.42000000001</v>
      </c>
      <c r="H239" s="994">
        <f t="shared" ref="H239:H265" si="29">G239-F239</f>
        <v>0</v>
      </c>
      <c r="I239" s="994">
        <v>371408.47</v>
      </c>
      <c r="J239" s="994">
        <v>371408.47</v>
      </c>
      <c r="K239" s="995">
        <f>(G239-F239)*D239*E239</f>
        <v>0</v>
      </c>
    </row>
    <row r="240" spans="1:12" ht="15" hidden="1" customHeight="1" x14ac:dyDescent="0.2">
      <c r="A240" s="1295"/>
      <c r="B240" s="1125" t="s">
        <v>71</v>
      </c>
      <c r="C240" s="1126" t="s">
        <v>70</v>
      </c>
      <c r="D240" s="991">
        <v>1000</v>
      </c>
      <c r="E240" s="1127">
        <v>1</v>
      </c>
      <c r="F240" s="1128">
        <v>1082.9100000000001</v>
      </c>
      <c r="G240" s="1128">
        <v>1082.9100000000001</v>
      </c>
      <c r="H240" s="994">
        <f t="shared" si="29"/>
        <v>0</v>
      </c>
      <c r="I240" s="994">
        <v>945.5</v>
      </c>
      <c r="J240" s="994">
        <v>945.5</v>
      </c>
      <c r="K240" s="995">
        <f>(G240-F240)*D240*E240</f>
        <v>0</v>
      </c>
    </row>
    <row r="241" spans="1:12" ht="15" hidden="1" customHeight="1" x14ac:dyDescent="0.2">
      <c r="A241" s="1295"/>
      <c r="B241" s="1125" t="s">
        <v>69</v>
      </c>
      <c r="C241" s="1126">
        <v>216742467</v>
      </c>
      <c r="D241" s="991">
        <v>375</v>
      </c>
      <c r="E241" s="1127">
        <v>1</v>
      </c>
      <c r="F241" s="1128">
        <v>468399.32</v>
      </c>
      <c r="G241" s="1128">
        <v>468399.32</v>
      </c>
      <c r="H241" s="994">
        <f t="shared" si="29"/>
        <v>0</v>
      </c>
      <c r="I241" s="994"/>
      <c r="J241" s="994"/>
      <c r="K241" s="995">
        <f>(G241-F241)*D241*E241</f>
        <v>0</v>
      </c>
    </row>
    <row r="242" spans="1:12" ht="15" hidden="1" customHeight="1" x14ac:dyDescent="0.2">
      <c r="A242" s="1295"/>
      <c r="B242" s="1125" t="s">
        <v>71</v>
      </c>
      <c r="C242" s="1126">
        <v>216742467</v>
      </c>
      <c r="D242" s="991">
        <v>375</v>
      </c>
      <c r="E242" s="1127">
        <v>1</v>
      </c>
      <c r="F242" s="1128">
        <v>52.52</v>
      </c>
      <c r="G242" s="1128">
        <v>52.52</v>
      </c>
      <c r="H242" s="994">
        <f t="shared" si="29"/>
        <v>0</v>
      </c>
      <c r="I242" s="994"/>
      <c r="J242" s="994"/>
      <c r="K242" s="995">
        <f>(G242-F242)*D242*E242</f>
        <v>0</v>
      </c>
    </row>
    <row r="243" spans="1:12" ht="15" hidden="1" customHeight="1" x14ac:dyDescent="0.2">
      <c r="A243" s="1295"/>
      <c r="B243" s="888" t="s">
        <v>367</v>
      </c>
      <c r="C243" s="1161"/>
      <c r="D243" s="845"/>
      <c r="E243" s="963"/>
      <c r="F243" s="1162"/>
      <c r="G243" s="1162"/>
      <c r="H243" s="848"/>
      <c r="I243" s="848"/>
      <c r="J243" s="848"/>
      <c r="K243" s="853">
        <f>K239+K241</f>
        <v>0</v>
      </c>
    </row>
    <row r="244" spans="1:12" ht="15" hidden="1" customHeight="1" x14ac:dyDescent="0.2">
      <c r="A244" s="1295"/>
      <c r="B244" s="888" t="s">
        <v>368</v>
      </c>
      <c r="C244" s="1161"/>
      <c r="D244" s="845"/>
      <c r="E244" s="963"/>
      <c r="F244" s="1162"/>
      <c r="G244" s="1162"/>
      <c r="H244" s="848"/>
      <c r="I244" s="848"/>
      <c r="J244" s="848"/>
      <c r="K244" s="853">
        <f>K240+K242</f>
        <v>0</v>
      </c>
    </row>
    <row r="245" spans="1:12" s="4" customFormat="1" hidden="1" x14ac:dyDescent="0.2">
      <c r="A245" s="1295"/>
      <c r="B245" s="71" t="s">
        <v>72</v>
      </c>
      <c r="C245" s="62"/>
      <c r="D245" s="62"/>
      <c r="E245" s="89"/>
      <c r="F245" s="64"/>
      <c r="G245" s="64"/>
      <c r="H245" s="90"/>
      <c r="I245" s="90"/>
      <c r="J245" s="90"/>
      <c r="K245" s="576">
        <f>K243-K244</f>
        <v>0</v>
      </c>
      <c r="L245" s="896"/>
    </row>
    <row r="246" spans="1:12" hidden="1" x14ac:dyDescent="0.2">
      <c r="A246" s="1295"/>
      <c r="B246" s="864"/>
      <c r="C246" s="851"/>
      <c r="D246" s="1164"/>
      <c r="E246" s="1165" t="s">
        <v>382</v>
      </c>
      <c r="F246" s="852"/>
      <c r="G246" s="852"/>
      <c r="H246" s="848"/>
      <c r="I246" s="848"/>
      <c r="J246" s="848"/>
      <c r="K246" s="853"/>
    </row>
    <row r="247" spans="1:12" ht="12.75" hidden="1" customHeight="1" x14ac:dyDescent="0.2">
      <c r="A247" s="1295"/>
      <c r="B247" s="888" t="s">
        <v>73</v>
      </c>
      <c r="C247" s="1161" t="s">
        <v>74</v>
      </c>
      <c r="D247" s="845">
        <v>1000</v>
      </c>
      <c r="E247" s="963">
        <v>1</v>
      </c>
      <c r="F247" s="1162">
        <v>351306.09</v>
      </c>
      <c r="G247" s="1162">
        <v>351306.09</v>
      </c>
      <c r="H247" s="848">
        <f t="shared" si="29"/>
        <v>0</v>
      </c>
      <c r="I247" s="848">
        <v>929121.28000000003</v>
      </c>
      <c r="J247" s="848">
        <v>929121.28000000003</v>
      </c>
      <c r="K247" s="849">
        <f>(G247-F247)*D247*E247</f>
        <v>0</v>
      </c>
    </row>
    <row r="248" spans="1:12" ht="12.75" hidden="1" customHeight="1" x14ac:dyDescent="0.2">
      <c r="A248" s="1295"/>
      <c r="B248" s="888" t="s">
        <v>75</v>
      </c>
      <c r="C248" s="1161" t="s">
        <v>74</v>
      </c>
      <c r="D248" s="845">
        <v>1000</v>
      </c>
      <c r="E248" s="963">
        <v>1</v>
      </c>
      <c r="F248" s="1163">
        <v>3182.59</v>
      </c>
      <c r="G248" s="1163">
        <v>3182.59</v>
      </c>
      <c r="H248" s="848">
        <f t="shared" si="29"/>
        <v>0</v>
      </c>
      <c r="I248" s="848">
        <v>5548.24</v>
      </c>
      <c r="J248" s="848">
        <v>5548.24</v>
      </c>
      <c r="K248" s="849">
        <f>(G248-F248)*D248*E248</f>
        <v>0</v>
      </c>
    </row>
    <row r="249" spans="1:12" hidden="1" x14ac:dyDescent="0.2">
      <c r="A249" s="1295"/>
      <c r="B249" s="888" t="s">
        <v>447</v>
      </c>
      <c r="C249" s="1161">
        <v>213605177</v>
      </c>
      <c r="D249" s="845">
        <v>960</v>
      </c>
      <c r="E249" s="963">
        <v>1</v>
      </c>
      <c r="F249" s="1163">
        <v>1391864.72</v>
      </c>
      <c r="G249" s="1163">
        <v>1391864.72</v>
      </c>
      <c r="H249" s="848">
        <f t="shared" si="29"/>
        <v>0</v>
      </c>
      <c r="I249" s="848"/>
      <c r="J249" s="848"/>
      <c r="K249" s="849">
        <f>(G249-F249)*D249*E249</f>
        <v>0</v>
      </c>
    </row>
    <row r="250" spans="1:12" hidden="1" x14ac:dyDescent="0.2">
      <c r="A250" s="1295"/>
      <c r="B250" s="888" t="s">
        <v>448</v>
      </c>
      <c r="C250" s="1161">
        <v>213605177</v>
      </c>
      <c r="D250" s="845">
        <v>960</v>
      </c>
      <c r="E250" s="963">
        <v>1</v>
      </c>
      <c r="F250" s="1163">
        <v>1572.68</v>
      </c>
      <c r="G250" s="1163">
        <v>1572.68</v>
      </c>
      <c r="H250" s="848">
        <f t="shared" si="29"/>
        <v>0</v>
      </c>
      <c r="I250" s="848"/>
      <c r="J250" s="848"/>
      <c r="K250" s="849">
        <f>(G250-F250)*D250*E250</f>
        <v>0</v>
      </c>
    </row>
    <row r="251" spans="1:12" hidden="1" x14ac:dyDescent="0.2">
      <c r="A251" s="1295"/>
      <c r="B251" s="864" t="s">
        <v>408</v>
      </c>
      <c r="C251" s="1161"/>
      <c r="D251" s="845"/>
      <c r="E251" s="963"/>
      <c r="F251" s="1163"/>
      <c r="G251" s="1163"/>
      <c r="H251" s="848"/>
      <c r="I251" s="848"/>
      <c r="J251" s="848"/>
      <c r="K251" s="853">
        <f>K247+K249</f>
        <v>0</v>
      </c>
    </row>
    <row r="252" spans="1:12" hidden="1" x14ac:dyDescent="0.2">
      <c r="A252" s="1295"/>
      <c r="B252" s="864" t="s">
        <v>409</v>
      </c>
      <c r="C252" s="1161"/>
      <c r="D252" s="845"/>
      <c r="E252" s="963"/>
      <c r="F252" s="1163"/>
      <c r="G252" s="1163"/>
      <c r="H252" s="848"/>
      <c r="I252" s="848"/>
      <c r="J252" s="848"/>
      <c r="K252" s="853">
        <f>K248+K250</f>
        <v>0</v>
      </c>
    </row>
    <row r="253" spans="1:12" s="4" customFormat="1" hidden="1" x14ac:dyDescent="0.2">
      <c r="A253" s="1295"/>
      <c r="B253" s="71" t="s">
        <v>76</v>
      </c>
      <c r="C253" s="62"/>
      <c r="D253" s="62"/>
      <c r="E253" s="89"/>
      <c r="F253" s="64"/>
      <c r="G253" s="64"/>
      <c r="H253" s="90"/>
      <c r="I253" s="90"/>
      <c r="J253" s="90"/>
      <c r="K253" s="576">
        <f>K251-K252</f>
        <v>0</v>
      </c>
      <c r="L253" s="896"/>
    </row>
    <row r="254" spans="1:12" hidden="1" x14ac:dyDescent="0.2">
      <c r="A254" s="1295"/>
      <c r="B254" s="890" t="s">
        <v>77</v>
      </c>
      <c r="C254" s="891">
        <v>12861165</v>
      </c>
      <c r="D254" s="891">
        <v>1568181.818</v>
      </c>
      <c r="E254" s="892">
        <v>1</v>
      </c>
      <c r="F254" s="848">
        <v>1860.9882749999999</v>
      </c>
      <c r="G254" s="848">
        <v>1860.9882749999999</v>
      </c>
      <c r="H254" s="848">
        <f t="shared" si="29"/>
        <v>0</v>
      </c>
      <c r="I254" s="848">
        <v>171.903525</v>
      </c>
      <c r="J254" s="848">
        <v>171.903525</v>
      </c>
      <c r="K254" s="849">
        <f>H254*D254*E254</f>
        <v>0</v>
      </c>
    </row>
    <row r="255" spans="1:12" hidden="1" x14ac:dyDescent="0.2">
      <c r="A255" s="1295"/>
      <c r="B255" s="890" t="s">
        <v>78</v>
      </c>
      <c r="C255" s="891">
        <v>12861165</v>
      </c>
      <c r="D255" s="891">
        <v>1568181.818</v>
      </c>
      <c r="E255" s="892">
        <v>1</v>
      </c>
      <c r="F255" s="893">
        <v>2.3570000000000002</v>
      </c>
      <c r="G255" s="893">
        <v>2.3570000000000002</v>
      </c>
      <c r="H255" s="848">
        <f t="shared" si="29"/>
        <v>0</v>
      </c>
      <c r="I255" s="894">
        <v>0.89332500000000004</v>
      </c>
      <c r="J255" s="894">
        <v>0.89332500000000004</v>
      </c>
      <c r="K255" s="849">
        <f>(G255-F255)*D255*E255</f>
        <v>0</v>
      </c>
    </row>
    <row r="256" spans="1:12" s="4" customFormat="1" hidden="1" x14ac:dyDescent="0.2">
      <c r="A256" s="1295"/>
      <c r="B256" s="104" t="s">
        <v>79</v>
      </c>
      <c r="C256" s="62"/>
      <c r="D256" s="62"/>
      <c r="E256" s="89"/>
      <c r="F256" s="64"/>
      <c r="G256" s="64"/>
      <c r="H256" s="90"/>
      <c r="I256" s="90"/>
      <c r="J256" s="90"/>
      <c r="K256" s="576">
        <f>K254-K255</f>
        <v>0</v>
      </c>
      <c r="L256" s="896">
        <v>7</v>
      </c>
    </row>
    <row r="257" spans="1:12" ht="12.75" hidden="1" customHeight="1" x14ac:dyDescent="0.2">
      <c r="A257" s="1295"/>
      <c r="B257" s="408" t="s">
        <v>80</v>
      </c>
      <c r="C257" s="409">
        <v>96833444</v>
      </c>
      <c r="D257" s="409">
        <v>1000</v>
      </c>
      <c r="E257" s="414">
        <v>1</v>
      </c>
      <c r="F257" s="415">
        <v>823550.34</v>
      </c>
      <c r="G257" s="415">
        <v>823550.34</v>
      </c>
      <c r="H257" s="412">
        <f t="shared" si="29"/>
        <v>0</v>
      </c>
      <c r="I257" s="416">
        <v>236423.58</v>
      </c>
      <c r="J257" s="416">
        <v>236423.58</v>
      </c>
      <c r="K257" s="413">
        <f>(G257-F257)*D257*E257</f>
        <v>0</v>
      </c>
    </row>
    <row r="258" spans="1:12" ht="12.75" hidden="1" customHeight="1" x14ac:dyDescent="0.2">
      <c r="A258" s="1295"/>
      <c r="B258" s="408" t="s">
        <v>81</v>
      </c>
      <c r="C258" s="409">
        <v>96833444</v>
      </c>
      <c r="D258" s="409">
        <v>1000</v>
      </c>
      <c r="E258" s="414">
        <v>1</v>
      </c>
      <c r="F258" s="411">
        <v>862.34</v>
      </c>
      <c r="G258" s="411">
        <v>862.34</v>
      </c>
      <c r="H258" s="412">
        <f t="shared" si="29"/>
        <v>0</v>
      </c>
      <c r="I258" s="412">
        <v>2184.41</v>
      </c>
      <c r="J258" s="412">
        <v>2184.41</v>
      </c>
      <c r="K258" s="413">
        <f>(G258-F258)*D258*E258</f>
        <v>0</v>
      </c>
    </row>
    <row r="259" spans="1:12" hidden="1" x14ac:dyDescent="0.2">
      <c r="A259" s="1295"/>
      <c r="B259" s="1125" t="s">
        <v>80</v>
      </c>
      <c r="C259" s="991">
        <v>216742477</v>
      </c>
      <c r="D259" s="991">
        <v>82500</v>
      </c>
      <c r="E259" s="1127">
        <v>1</v>
      </c>
      <c r="F259" s="993">
        <v>2218.2921699999997</v>
      </c>
      <c r="G259" s="993">
        <v>2218.2921699999997</v>
      </c>
      <c r="H259" s="994">
        <f t="shared" si="29"/>
        <v>0</v>
      </c>
      <c r="I259" s="994"/>
      <c r="J259" s="994"/>
      <c r="K259" s="995">
        <f>(G259-F259)*D259*E259</f>
        <v>0</v>
      </c>
    </row>
    <row r="260" spans="1:12" hidden="1" x14ac:dyDescent="0.2">
      <c r="A260" s="1295"/>
      <c r="B260" s="1125" t="s">
        <v>81</v>
      </c>
      <c r="C260" s="991">
        <v>216742477</v>
      </c>
      <c r="D260" s="991">
        <v>82500</v>
      </c>
      <c r="E260" s="1127">
        <v>1</v>
      </c>
      <c r="F260" s="993">
        <v>2.0379999999999999E-2</v>
      </c>
      <c r="G260" s="993">
        <v>2.0379999999999999E-2</v>
      </c>
      <c r="H260" s="994">
        <f t="shared" si="29"/>
        <v>0</v>
      </c>
      <c r="I260" s="994"/>
      <c r="J260" s="994"/>
      <c r="K260" s="995">
        <f>(G260-F260)*D260*E260</f>
        <v>0</v>
      </c>
    </row>
    <row r="261" spans="1:12" hidden="1" x14ac:dyDescent="0.2">
      <c r="A261" s="1295"/>
      <c r="B261" s="864" t="s">
        <v>367</v>
      </c>
      <c r="C261" s="845"/>
      <c r="D261" s="1166"/>
      <c r="E261" s="1167"/>
      <c r="F261" s="847"/>
      <c r="G261" s="847"/>
      <c r="H261" s="848"/>
      <c r="I261" s="848"/>
      <c r="J261" s="848"/>
      <c r="K261" s="853">
        <f>K257+K259</f>
        <v>0</v>
      </c>
    </row>
    <row r="262" spans="1:12" hidden="1" x14ac:dyDescent="0.2">
      <c r="A262" s="1295"/>
      <c r="B262" s="864" t="s">
        <v>368</v>
      </c>
      <c r="C262" s="845"/>
      <c r="D262" s="967"/>
      <c r="E262" s="967"/>
      <c r="F262" s="847"/>
      <c r="G262" s="847"/>
      <c r="H262" s="848"/>
      <c r="I262" s="848"/>
      <c r="J262" s="848"/>
      <c r="K262" s="853">
        <f>K258+K260</f>
        <v>0</v>
      </c>
    </row>
    <row r="263" spans="1:12" s="4" customFormat="1" hidden="1" x14ac:dyDescent="0.2">
      <c r="A263" s="1295"/>
      <c r="B263" s="71" t="s">
        <v>82</v>
      </c>
      <c r="C263" s="62"/>
      <c r="D263" s="62"/>
      <c r="E263" s="89"/>
      <c r="F263" s="64"/>
      <c r="G263" s="64"/>
      <c r="H263" s="90"/>
      <c r="I263" s="90"/>
      <c r="J263" s="90"/>
      <c r="K263" s="576">
        <f>K261-K262</f>
        <v>0</v>
      </c>
      <c r="L263" s="896"/>
    </row>
    <row r="264" spans="1:12" hidden="1" x14ac:dyDescent="0.2">
      <c r="A264" s="1295"/>
      <c r="B264" s="1129" t="s">
        <v>83</v>
      </c>
      <c r="C264" s="991">
        <v>12393401</v>
      </c>
      <c r="D264" s="991">
        <v>960000</v>
      </c>
      <c r="E264" s="1127">
        <v>1</v>
      </c>
      <c r="F264" s="993">
        <v>1604.8276499999999</v>
      </c>
      <c r="G264" s="993">
        <v>1604.8276499999999</v>
      </c>
      <c r="H264" s="994">
        <f t="shared" si="29"/>
        <v>0</v>
      </c>
      <c r="I264" s="1130">
        <v>443.40437500000002</v>
      </c>
      <c r="J264" s="1130">
        <v>456.85714999999999</v>
      </c>
      <c r="K264" s="995">
        <f>(G264-F264)*D264*E264</f>
        <v>0</v>
      </c>
    </row>
    <row r="265" spans="1:12" hidden="1" x14ac:dyDescent="0.2">
      <c r="A265" s="1295"/>
      <c r="B265" s="1129" t="s">
        <v>84</v>
      </c>
      <c r="C265" s="991">
        <v>12393401</v>
      </c>
      <c r="D265" s="991">
        <v>960000</v>
      </c>
      <c r="E265" s="1127">
        <v>1</v>
      </c>
      <c r="F265" s="993">
        <v>12.608549999999999</v>
      </c>
      <c r="G265" s="993">
        <v>12.608549999999999</v>
      </c>
      <c r="H265" s="994">
        <f t="shared" si="29"/>
        <v>0</v>
      </c>
      <c r="I265" s="994">
        <v>7.0577500000000004</v>
      </c>
      <c r="J265" s="994">
        <v>7.1304999999999996</v>
      </c>
      <c r="K265" s="995">
        <f>(G265-F265)*D265*E265</f>
        <v>0</v>
      </c>
    </row>
    <row r="266" spans="1:12" s="4" customFormat="1" hidden="1" x14ac:dyDescent="0.2">
      <c r="A266" s="1295"/>
      <c r="B266" s="71" t="s">
        <v>85</v>
      </c>
      <c r="C266" s="62"/>
      <c r="D266" s="62"/>
      <c r="E266" s="89"/>
      <c r="F266" s="64"/>
      <c r="G266" s="64"/>
      <c r="H266" s="90"/>
      <c r="I266" s="90"/>
      <c r="J266" s="90"/>
      <c r="K266" s="576">
        <f>K264-K265</f>
        <v>0</v>
      </c>
      <c r="L266" s="896"/>
    </row>
    <row r="267" spans="1:12" s="967" customFormat="1" hidden="1" x14ac:dyDescent="0.2">
      <c r="A267" s="1295"/>
      <c r="B267" s="888" t="s">
        <v>537</v>
      </c>
      <c r="C267" s="1306" t="s">
        <v>1278</v>
      </c>
      <c r="D267" s="845">
        <v>960000</v>
      </c>
      <c r="E267" s="846">
        <v>1</v>
      </c>
      <c r="F267" s="847">
        <v>845.38273000000004</v>
      </c>
      <c r="G267" s="847">
        <v>845.38273000000004</v>
      </c>
      <c r="H267" s="848">
        <f>G267-F267</f>
        <v>0</v>
      </c>
      <c r="I267" s="848"/>
      <c r="J267" s="848"/>
      <c r="K267" s="849">
        <f>(G267-F267)*D267*E267</f>
        <v>0</v>
      </c>
      <c r="L267" s="966"/>
    </row>
    <row r="268" spans="1:12" s="967" customFormat="1" hidden="1" x14ac:dyDescent="0.2">
      <c r="A268" s="1295"/>
      <c r="B268" s="888" t="s">
        <v>538</v>
      </c>
      <c r="C268" s="1307"/>
      <c r="D268" s="845">
        <v>960000</v>
      </c>
      <c r="E268" s="846">
        <v>1</v>
      </c>
      <c r="F268" s="847">
        <v>10.08595</v>
      </c>
      <c r="G268" s="847">
        <v>10.08595</v>
      </c>
      <c r="H268" s="848">
        <f>G268-F268</f>
        <v>0</v>
      </c>
      <c r="I268" s="848"/>
      <c r="J268" s="848"/>
      <c r="K268" s="849">
        <f>(G268-F268)*D268*E268</f>
        <v>0</v>
      </c>
      <c r="L268" s="966"/>
    </row>
    <row r="269" spans="1:12" s="967" customFormat="1" ht="15.75" hidden="1" customHeight="1" x14ac:dyDescent="0.2">
      <c r="A269" s="1295"/>
      <c r="B269" s="223" t="s">
        <v>539</v>
      </c>
      <c r="C269" s="62"/>
      <c r="D269" s="62"/>
      <c r="E269" s="110"/>
      <c r="F269" s="64"/>
      <c r="G269" s="64"/>
      <c r="H269" s="65"/>
      <c r="I269" s="112"/>
      <c r="J269" s="112"/>
      <c r="K269" s="197">
        <f>K267-K268</f>
        <v>0</v>
      </c>
      <c r="L269" s="966">
        <v>22</v>
      </c>
    </row>
    <row r="270" spans="1:12" hidden="1" x14ac:dyDescent="0.2">
      <c r="A270" s="1295"/>
      <c r="B270" s="1125" t="s">
        <v>643</v>
      </c>
      <c r="C270" s="1304" t="s">
        <v>645</v>
      </c>
      <c r="D270" s="991">
        <v>960000</v>
      </c>
      <c r="E270" s="992">
        <v>1</v>
      </c>
      <c r="F270" s="993">
        <v>363.87194799999997</v>
      </c>
      <c r="G270" s="993">
        <v>363.87194799999997</v>
      </c>
      <c r="H270" s="994">
        <f t="shared" ref="H270:H277" si="30">G270-F270</f>
        <v>0</v>
      </c>
      <c r="I270" s="994"/>
      <c r="J270" s="994"/>
      <c r="K270" s="995">
        <f>(G270-F270)*D270*E270</f>
        <v>0</v>
      </c>
    </row>
    <row r="271" spans="1:12" hidden="1" x14ac:dyDescent="0.2">
      <c r="A271" s="1295"/>
      <c r="B271" s="1125" t="s">
        <v>644</v>
      </c>
      <c r="C271" s="1305"/>
      <c r="D271" s="991">
        <v>960000</v>
      </c>
      <c r="E271" s="992">
        <v>1</v>
      </c>
      <c r="F271" s="993">
        <v>5.4199630000000001</v>
      </c>
      <c r="G271" s="993">
        <v>5.4199630000000001</v>
      </c>
      <c r="H271" s="994">
        <f t="shared" si="30"/>
        <v>0</v>
      </c>
      <c r="I271" s="994"/>
      <c r="J271" s="994"/>
      <c r="K271" s="995">
        <f>(G271-F271)*D271*E271</f>
        <v>0</v>
      </c>
    </row>
    <row r="272" spans="1:12" hidden="1" x14ac:dyDescent="0.2">
      <c r="A272" s="1295"/>
      <c r="B272" s="223" t="s">
        <v>646</v>
      </c>
      <c r="C272" s="109"/>
      <c r="D272" s="62"/>
      <c r="E272" s="63"/>
      <c r="F272" s="64"/>
      <c r="G272" s="64"/>
      <c r="H272" s="65"/>
      <c r="I272" s="66"/>
      <c r="J272" s="66"/>
      <c r="K272" s="576">
        <f>K270-K271</f>
        <v>0</v>
      </c>
      <c r="L272" s="749">
        <v>25</v>
      </c>
    </row>
    <row r="273" spans="1:14" hidden="1" x14ac:dyDescent="0.2">
      <c r="A273" s="1295"/>
      <c r="B273" s="1125" t="s">
        <v>647</v>
      </c>
      <c r="C273" s="1304" t="s">
        <v>649</v>
      </c>
      <c r="D273" s="991">
        <v>501818.18180000002</v>
      </c>
      <c r="E273" s="992">
        <v>1</v>
      </c>
      <c r="F273" s="993">
        <v>1927.6604400000001</v>
      </c>
      <c r="G273" s="993">
        <v>1927.6604400000001</v>
      </c>
      <c r="H273" s="994">
        <f t="shared" si="30"/>
        <v>0</v>
      </c>
      <c r="I273" s="994"/>
      <c r="J273" s="994"/>
      <c r="K273" s="995">
        <f>(G273-F273)*D273*E273</f>
        <v>0</v>
      </c>
    </row>
    <row r="274" spans="1:14" hidden="1" x14ac:dyDescent="0.2">
      <c r="A274" s="1295"/>
      <c r="B274" s="1125" t="s">
        <v>648</v>
      </c>
      <c r="C274" s="1305"/>
      <c r="D274" s="991">
        <v>501818.18180000002</v>
      </c>
      <c r="E274" s="992">
        <v>1</v>
      </c>
      <c r="F274" s="993">
        <v>62.350909999999999</v>
      </c>
      <c r="G274" s="993">
        <v>62.350909999999999</v>
      </c>
      <c r="H274" s="994">
        <f t="shared" si="30"/>
        <v>0</v>
      </c>
      <c r="I274" s="994"/>
      <c r="J274" s="994"/>
      <c r="K274" s="995">
        <f>(G274-F274)*D274*E274</f>
        <v>0</v>
      </c>
    </row>
    <row r="275" spans="1:14" hidden="1" x14ac:dyDescent="0.2">
      <c r="A275" s="1295"/>
      <c r="B275" s="223" t="s">
        <v>650</v>
      </c>
      <c r="C275" s="62"/>
      <c r="D275" s="62"/>
      <c r="E275" s="63"/>
      <c r="F275" s="64"/>
      <c r="G275" s="64"/>
      <c r="H275" s="65"/>
      <c r="I275" s="66"/>
      <c r="J275" s="66"/>
      <c r="K275" s="576">
        <f>K273-K274</f>
        <v>0</v>
      </c>
      <c r="L275" s="749">
        <v>26</v>
      </c>
    </row>
    <row r="276" spans="1:14" hidden="1" x14ac:dyDescent="0.2">
      <c r="A276" s="1295"/>
      <c r="B276" s="1125" t="s">
        <v>654</v>
      </c>
      <c r="C276" s="1304" t="s">
        <v>645</v>
      </c>
      <c r="D276" s="991">
        <v>960000</v>
      </c>
      <c r="E276" s="992">
        <v>1</v>
      </c>
      <c r="F276" s="993">
        <v>406.01998900000001</v>
      </c>
      <c r="G276" s="993">
        <v>406.01998900000001</v>
      </c>
      <c r="H276" s="994">
        <f t="shared" si="30"/>
        <v>0</v>
      </c>
      <c r="I276" s="994"/>
      <c r="J276" s="994"/>
      <c r="K276" s="995">
        <f>(G276-F276)*D276*E276</f>
        <v>0</v>
      </c>
    </row>
    <row r="277" spans="1:14" hidden="1" x14ac:dyDescent="0.2">
      <c r="A277" s="1295"/>
      <c r="B277" s="1125" t="s">
        <v>655</v>
      </c>
      <c r="C277" s="1305"/>
      <c r="D277" s="991">
        <v>960000</v>
      </c>
      <c r="E277" s="992">
        <v>1</v>
      </c>
      <c r="F277" s="993">
        <v>4.2764959999999999</v>
      </c>
      <c r="G277" s="993">
        <v>4.2764959999999999</v>
      </c>
      <c r="H277" s="994">
        <f t="shared" si="30"/>
        <v>0</v>
      </c>
      <c r="I277" s="994"/>
      <c r="J277" s="994"/>
      <c r="K277" s="1168">
        <f>(G277-F277)*D277*E277</f>
        <v>0</v>
      </c>
    </row>
    <row r="278" spans="1:14" hidden="1" x14ac:dyDescent="0.2">
      <c r="A278" s="1295"/>
      <c r="B278" s="223" t="s">
        <v>656</v>
      </c>
      <c r="C278" s="421"/>
      <c r="D278" s="109"/>
      <c r="E278" s="110"/>
      <c r="F278" s="111"/>
      <c r="G278" s="111"/>
      <c r="H278" s="112"/>
      <c r="I278" s="66"/>
      <c r="J278" s="66"/>
      <c r="K278" s="576">
        <f>K276-K277</f>
        <v>0</v>
      </c>
      <c r="L278" s="749">
        <v>27</v>
      </c>
    </row>
    <row r="279" spans="1:14" s="19" customFormat="1" x14ac:dyDescent="0.2">
      <c r="A279" s="1296"/>
      <c r="B279" s="113" t="s">
        <v>90</v>
      </c>
      <c r="C279" s="114"/>
      <c r="D279" s="114"/>
      <c r="E279" s="115"/>
      <c r="F279" s="116"/>
      <c r="G279" s="116"/>
      <c r="H279" s="117"/>
      <c r="I279" s="118"/>
      <c r="J279" s="118"/>
      <c r="K279" s="1249">
        <f>SUM(K120,K154,K191,K144,K123,K51,K74,K278,K275,K272,K210,K213,K207,K58,K81,K88,K204,K188,,K69,K157,K93,K201,K171,K166,K147,K100,K141,K194,,K266,K263,K256,K253,K245,K223,K185,K238,K178,K229,K117,K220,K134,K109,K131,K48)</f>
        <v>1600637969.9554343</v>
      </c>
      <c r="L279" s="900"/>
      <c r="N279" s="1083">
        <f>SUM(K48+K279)</f>
        <v>1628130971.6578352</v>
      </c>
    </row>
    <row r="280" spans="1:14" s="19" customFormat="1" ht="12.75" customHeight="1" x14ac:dyDescent="0.2">
      <c r="A280" s="1308" t="s">
        <v>6</v>
      </c>
      <c r="B280" s="1326" t="s">
        <v>1254</v>
      </c>
      <c r="C280" s="742" t="s">
        <v>1255</v>
      </c>
      <c r="D280" s="742">
        <v>501818</v>
      </c>
      <c r="E280" s="743">
        <v>1</v>
      </c>
      <c r="F280" s="746">
        <v>127.18</v>
      </c>
      <c r="G280" s="746">
        <v>127.18</v>
      </c>
      <c r="H280" s="744">
        <f>G280-F280</f>
        <v>0</v>
      </c>
      <c r="I280" s="744"/>
      <c r="J280" s="744"/>
      <c r="K280" s="745">
        <f>H280*E280*D280</f>
        <v>0</v>
      </c>
      <c r="L280" s="900"/>
      <c r="N280" s="1084"/>
    </row>
    <row r="281" spans="1:14" s="19" customFormat="1" x14ac:dyDescent="0.2">
      <c r="A281" s="1309"/>
      <c r="B281" s="1327"/>
      <c r="C281" s="742" t="s">
        <v>1256</v>
      </c>
      <c r="D281" s="742">
        <v>501818</v>
      </c>
      <c r="E281" s="743">
        <v>1</v>
      </c>
      <c r="F281" s="746">
        <v>41.43</v>
      </c>
      <c r="G281" s="746">
        <v>41.43</v>
      </c>
      <c r="H281" s="744">
        <f>G281-F281</f>
        <v>0</v>
      </c>
      <c r="I281" s="744"/>
      <c r="J281" s="744"/>
      <c r="K281" s="745">
        <f>H281*E281*D281</f>
        <v>0</v>
      </c>
      <c r="L281" s="900"/>
    </row>
    <row r="282" spans="1:14" s="19" customFormat="1" x14ac:dyDescent="0.2">
      <c r="A282" s="1309"/>
      <c r="B282" s="223" t="s">
        <v>1262</v>
      </c>
      <c r="C282" s="62"/>
      <c r="D282" s="62"/>
      <c r="E282" s="63"/>
      <c r="F282" s="64"/>
      <c r="G282" s="64"/>
      <c r="H282" s="65"/>
      <c r="I282" s="66"/>
      <c r="J282" s="66"/>
      <c r="K282" s="430">
        <f>SUM(K280:K281)</f>
        <v>0</v>
      </c>
      <c r="L282" s="900"/>
    </row>
    <row r="283" spans="1:14" x14ac:dyDescent="0.2">
      <c r="A283" s="1309"/>
      <c r="B283" s="865" t="s">
        <v>111</v>
      </c>
      <c r="C283" s="866">
        <v>9468524</v>
      </c>
      <c r="D283" s="866">
        <v>48000</v>
      </c>
      <c r="E283" s="867">
        <v>1</v>
      </c>
      <c r="F283" s="941">
        <v>19618.11</v>
      </c>
      <c r="G283" s="941">
        <v>19618.11</v>
      </c>
      <c r="H283" s="868">
        <f t="shared" ref="H283:H292" si="31">G283-F283</f>
        <v>0</v>
      </c>
      <c r="I283" s="868"/>
      <c r="J283" s="868"/>
      <c r="K283" s="869">
        <f>(G283-F283)*D283*E283</f>
        <v>0</v>
      </c>
    </row>
    <row r="284" spans="1:14" x14ac:dyDescent="0.2">
      <c r="A284" s="1309"/>
      <c r="B284" s="865" t="s">
        <v>112</v>
      </c>
      <c r="C284" s="866">
        <v>9468524</v>
      </c>
      <c r="D284" s="866">
        <v>48000</v>
      </c>
      <c r="E284" s="867">
        <v>1</v>
      </c>
      <c r="F284" s="81">
        <v>7.28</v>
      </c>
      <c r="G284" s="81">
        <v>7.28</v>
      </c>
      <c r="H284" s="868">
        <f t="shared" si="31"/>
        <v>0</v>
      </c>
      <c r="I284" s="868"/>
      <c r="J284" s="868"/>
      <c r="K284" s="869">
        <f>(G284-F284)*D284*E284</f>
        <v>0</v>
      </c>
    </row>
    <row r="285" spans="1:14" x14ac:dyDescent="0.2">
      <c r="A285" s="1309"/>
      <c r="B285" s="865" t="s">
        <v>111</v>
      </c>
      <c r="C285" s="866">
        <v>209045518</v>
      </c>
      <c r="D285" s="866">
        <v>48000</v>
      </c>
      <c r="E285" s="867">
        <v>1</v>
      </c>
      <c r="F285" s="870">
        <v>25209.54981</v>
      </c>
      <c r="G285" s="870">
        <v>25209.54981</v>
      </c>
      <c r="H285" s="868">
        <f t="shared" si="31"/>
        <v>0</v>
      </c>
      <c r="I285" s="868"/>
      <c r="J285" s="868"/>
      <c r="K285" s="869">
        <f>(G285-F285)*D285*E285</f>
        <v>0</v>
      </c>
    </row>
    <row r="286" spans="1:14" x14ac:dyDescent="0.2">
      <c r="A286" s="1309"/>
      <c r="B286" s="865" t="s">
        <v>112</v>
      </c>
      <c r="C286" s="866">
        <v>209045518</v>
      </c>
      <c r="D286" s="866">
        <v>48000</v>
      </c>
      <c r="E286" s="867">
        <v>1</v>
      </c>
      <c r="F286" s="871">
        <v>14</v>
      </c>
      <c r="G286" s="871">
        <v>14.3</v>
      </c>
      <c r="H286" s="868">
        <f t="shared" si="31"/>
        <v>0.30000000000000071</v>
      </c>
      <c r="I286" s="868"/>
      <c r="J286" s="868"/>
      <c r="K286" s="869">
        <f>(G286-F286)*D286*E286</f>
        <v>14400.000000000035</v>
      </c>
    </row>
    <row r="287" spans="1:14" x14ac:dyDescent="0.2">
      <c r="A287" s="1309"/>
      <c r="B287" s="865"/>
      <c r="C287" s="866"/>
      <c r="D287" s="866"/>
      <c r="E287" s="867"/>
      <c r="F287" s="868"/>
      <c r="G287" s="868"/>
      <c r="H287" s="868"/>
      <c r="I287" s="868"/>
      <c r="J287" s="868"/>
      <c r="K287" s="872">
        <f>K283+K285</f>
        <v>0</v>
      </c>
    </row>
    <row r="288" spans="1:14" x14ac:dyDescent="0.2">
      <c r="A288" s="1309"/>
      <c r="B288" s="865"/>
      <c r="C288" s="866"/>
      <c r="D288" s="866"/>
      <c r="E288" s="867"/>
      <c r="F288" s="868"/>
      <c r="G288" s="868"/>
      <c r="H288" s="868"/>
      <c r="I288" s="868"/>
      <c r="J288" s="868"/>
      <c r="K288" s="872">
        <f>K284+K286</f>
        <v>14400.000000000035</v>
      </c>
    </row>
    <row r="289" spans="1:12" s="4" customFormat="1" x14ac:dyDescent="0.2">
      <c r="A289" s="1309"/>
      <c r="B289" s="223" t="s">
        <v>113</v>
      </c>
      <c r="C289" s="62"/>
      <c r="D289" s="62"/>
      <c r="E289" s="110"/>
      <c r="F289" s="64"/>
      <c r="G289" s="64"/>
      <c r="H289" s="65"/>
      <c r="I289" s="112"/>
      <c r="J289" s="112"/>
      <c r="K289" s="576">
        <f>K287-K288</f>
        <v>-14400.000000000035</v>
      </c>
      <c r="L289" s="896" t="s">
        <v>1211</v>
      </c>
    </row>
    <row r="290" spans="1:12" x14ac:dyDescent="0.2">
      <c r="A290" s="1309"/>
      <c r="B290" s="873" t="s">
        <v>114</v>
      </c>
      <c r="C290" s="874">
        <v>7678263</v>
      </c>
      <c r="D290" s="874">
        <v>48000</v>
      </c>
      <c r="E290" s="875">
        <v>1</v>
      </c>
      <c r="F290" s="876">
        <v>21581.1</v>
      </c>
      <c r="G290" s="876">
        <v>21693.99</v>
      </c>
      <c r="H290" s="877">
        <f t="shared" si="31"/>
        <v>112.89000000000306</v>
      </c>
      <c r="I290" s="877"/>
      <c r="J290" s="877"/>
      <c r="K290" s="878">
        <f>(G290-F290)*D290*E290</f>
        <v>5418720.0000001471</v>
      </c>
    </row>
    <row r="291" spans="1:12" x14ac:dyDescent="0.2">
      <c r="A291" s="1309"/>
      <c r="B291" s="873" t="s">
        <v>115</v>
      </c>
      <c r="C291" s="874">
        <v>9468515</v>
      </c>
      <c r="D291" s="874">
        <v>48000</v>
      </c>
      <c r="E291" s="875">
        <v>1</v>
      </c>
      <c r="F291" s="876">
        <v>17298.79</v>
      </c>
      <c r="G291" s="876">
        <v>17416.099999999999</v>
      </c>
      <c r="H291" s="877">
        <f t="shared" si="31"/>
        <v>117.30999999999767</v>
      </c>
      <c r="I291" s="877"/>
      <c r="J291" s="877"/>
      <c r="K291" s="878">
        <f>(G291-F291)*D291*E291</f>
        <v>5630879.9999998882</v>
      </c>
    </row>
    <row r="292" spans="1:12" x14ac:dyDescent="0.2">
      <c r="A292" s="1309"/>
      <c r="B292" s="873" t="s">
        <v>338</v>
      </c>
      <c r="C292" s="874">
        <v>50365501</v>
      </c>
      <c r="D292" s="874">
        <v>240000</v>
      </c>
      <c r="E292" s="875">
        <v>1</v>
      </c>
      <c r="F292" s="876">
        <v>3100.8</v>
      </c>
      <c r="G292" s="876">
        <v>3122.64</v>
      </c>
      <c r="H292" s="877">
        <f t="shared" si="31"/>
        <v>21.839999999999691</v>
      </c>
      <c r="I292" s="877"/>
      <c r="J292" s="877"/>
      <c r="K292" s="878">
        <f>(G292-F292)*D292*E292</f>
        <v>5241599.9999999255</v>
      </c>
    </row>
    <row r="293" spans="1:12" x14ac:dyDescent="0.2">
      <c r="A293" s="1309"/>
      <c r="B293" s="879" t="s">
        <v>8</v>
      </c>
      <c r="C293" s="874"/>
      <c r="D293" s="874"/>
      <c r="E293" s="875"/>
      <c r="F293" s="880"/>
      <c r="G293" s="880"/>
      <c r="H293" s="877"/>
      <c r="I293" s="877"/>
      <c r="J293" s="877"/>
      <c r="K293" s="872">
        <f>K292+K291+K290</f>
        <v>16291199.999999961</v>
      </c>
    </row>
    <row r="294" spans="1:12" x14ac:dyDescent="0.2">
      <c r="A294" s="1309"/>
      <c r="B294" s="873" t="s">
        <v>116</v>
      </c>
      <c r="C294" s="874">
        <v>7678263</v>
      </c>
      <c r="D294" s="874">
        <v>48000</v>
      </c>
      <c r="E294" s="875">
        <v>1</v>
      </c>
      <c r="F294" s="868">
        <v>353.85</v>
      </c>
      <c r="G294" s="880">
        <v>354.38</v>
      </c>
      <c r="H294" s="877">
        <f>G294-F294</f>
        <v>0.52999999999997272</v>
      </c>
      <c r="I294" s="877"/>
      <c r="J294" s="877"/>
      <c r="K294" s="878">
        <f>(G294-F294)*D294*E294</f>
        <v>25439.99999999869</v>
      </c>
    </row>
    <row r="295" spans="1:12" x14ac:dyDescent="0.2">
      <c r="A295" s="1309"/>
      <c r="B295" s="873" t="s">
        <v>117</v>
      </c>
      <c r="C295" s="874">
        <v>9468515</v>
      </c>
      <c r="D295" s="874">
        <v>48000</v>
      </c>
      <c r="E295" s="875">
        <v>1</v>
      </c>
      <c r="F295" s="868">
        <v>332.27</v>
      </c>
      <c r="G295" s="868">
        <v>336.65</v>
      </c>
      <c r="H295" s="877">
        <f>G295-F295</f>
        <v>4.3799999999999955</v>
      </c>
      <c r="I295" s="877"/>
      <c r="J295" s="877"/>
      <c r="K295" s="878">
        <f t="shared" ref="K295:K296" si="32">(G295-F295)*D295*E295</f>
        <v>210239.99999999977</v>
      </c>
    </row>
    <row r="296" spans="1:12" x14ac:dyDescent="0.2">
      <c r="A296" s="1309"/>
      <c r="B296" s="873" t="s">
        <v>339</v>
      </c>
      <c r="C296" s="874">
        <v>50365501</v>
      </c>
      <c r="D296" s="874">
        <v>240000</v>
      </c>
      <c r="E296" s="875">
        <v>1</v>
      </c>
      <c r="F296" s="868">
        <v>48.77</v>
      </c>
      <c r="G296" s="868">
        <v>49.63</v>
      </c>
      <c r="H296" s="877">
        <f>G296-F296</f>
        <v>0.85999999999999943</v>
      </c>
      <c r="I296" s="877"/>
      <c r="J296" s="877"/>
      <c r="K296" s="878">
        <f t="shared" si="32"/>
        <v>206399.99999999985</v>
      </c>
    </row>
    <row r="297" spans="1:12" x14ac:dyDescent="0.2">
      <c r="A297" s="1309"/>
      <c r="B297" s="881" t="s">
        <v>52</v>
      </c>
      <c r="C297" s="874"/>
      <c r="D297" s="874"/>
      <c r="E297" s="875"/>
      <c r="F297" s="880"/>
      <c r="G297" s="868"/>
      <c r="H297" s="877"/>
      <c r="I297" s="877"/>
      <c r="J297" s="877"/>
      <c r="K297" s="872">
        <f>K296+K295+K294</f>
        <v>442079.99999999837</v>
      </c>
    </row>
    <row r="298" spans="1:12" s="4" customFormat="1" x14ac:dyDescent="0.2">
      <c r="A298" s="1309"/>
      <c r="B298" s="223" t="s">
        <v>118</v>
      </c>
      <c r="C298" s="109"/>
      <c r="D298" s="109"/>
      <c r="E298" s="110"/>
      <c r="F298" s="111"/>
      <c r="G298" s="111"/>
      <c r="H298" s="112"/>
      <c r="I298" s="112"/>
      <c r="J298" s="112"/>
      <c r="K298" s="576">
        <f>K293-K297</f>
        <v>15849119.999999963</v>
      </c>
      <c r="L298" s="896" t="s">
        <v>1211</v>
      </c>
    </row>
    <row r="299" spans="1:12" x14ac:dyDescent="0.2">
      <c r="A299" s="1309"/>
      <c r="B299" s="882" t="s">
        <v>369</v>
      </c>
      <c r="C299" s="874">
        <v>50682749</v>
      </c>
      <c r="D299" s="874">
        <v>480000</v>
      </c>
      <c r="E299" s="875">
        <v>1</v>
      </c>
      <c r="F299" s="68">
        <v>862.87289999999996</v>
      </c>
      <c r="G299" s="68">
        <v>862.87289999999996</v>
      </c>
      <c r="H299" s="877">
        <f>G299-F299</f>
        <v>0</v>
      </c>
      <c r="I299" s="877"/>
      <c r="J299" s="877"/>
      <c r="K299" s="869">
        <f>(G299-F299)*D299*E299</f>
        <v>0</v>
      </c>
    </row>
    <row r="300" spans="1:12" x14ac:dyDescent="0.2">
      <c r="A300" s="1309"/>
      <c r="B300" s="882" t="s">
        <v>370</v>
      </c>
      <c r="C300" s="874">
        <v>50682749</v>
      </c>
      <c r="D300" s="874">
        <v>480000</v>
      </c>
      <c r="E300" s="875">
        <v>1</v>
      </c>
      <c r="F300" s="68">
        <v>2.2907999999999999</v>
      </c>
      <c r="G300" s="68">
        <v>2.2907999999999999</v>
      </c>
      <c r="H300" s="877">
        <f>G300-F300</f>
        <v>0</v>
      </c>
      <c r="I300" s="877"/>
      <c r="J300" s="877"/>
      <c r="K300" s="869">
        <f>(G300-F300)*D300*E300</f>
        <v>0</v>
      </c>
    </row>
    <row r="301" spans="1:12" x14ac:dyDescent="0.2">
      <c r="A301" s="1309"/>
      <c r="B301" s="882" t="s">
        <v>369</v>
      </c>
      <c r="C301" s="874">
        <v>50682747</v>
      </c>
      <c r="D301" s="874">
        <v>480000</v>
      </c>
      <c r="E301" s="875">
        <v>1</v>
      </c>
      <c r="F301" s="880">
        <v>4772.1772000000001</v>
      </c>
      <c r="G301" s="880">
        <v>4781.4632000000001</v>
      </c>
      <c r="H301" s="877">
        <f>G301-F301</f>
        <v>9.2860000000000582</v>
      </c>
      <c r="I301" s="877"/>
      <c r="J301" s="877"/>
      <c r="K301" s="869">
        <f>(G301-F301)*D301*E301</f>
        <v>4457280.0000000279</v>
      </c>
    </row>
    <row r="302" spans="1:12" x14ac:dyDescent="0.2">
      <c r="A302" s="1309"/>
      <c r="B302" s="882" t="s">
        <v>370</v>
      </c>
      <c r="C302" s="874">
        <v>50682747</v>
      </c>
      <c r="D302" s="874">
        <v>480000</v>
      </c>
      <c r="E302" s="875">
        <v>1</v>
      </c>
      <c r="F302" s="880">
        <v>11.724299999999999</v>
      </c>
      <c r="G302" s="880">
        <v>11.798400000000001</v>
      </c>
      <c r="H302" s="877">
        <f>G302-F302</f>
        <v>7.4100000000001387E-2</v>
      </c>
      <c r="I302" s="877"/>
      <c r="J302" s="877"/>
      <c r="K302" s="869">
        <f>(G302-F302)*D302*E302</f>
        <v>35568.000000000669</v>
      </c>
    </row>
    <row r="303" spans="1:12" x14ac:dyDescent="0.2">
      <c r="A303" s="1309"/>
      <c r="B303" s="882"/>
      <c r="C303" s="874"/>
      <c r="D303" s="874"/>
      <c r="E303" s="875"/>
      <c r="F303" s="880"/>
      <c r="G303" s="880"/>
      <c r="H303" s="877"/>
      <c r="I303" s="877"/>
      <c r="J303" s="877"/>
      <c r="K303" s="872">
        <f>K300+K302</f>
        <v>35568.000000000669</v>
      </c>
    </row>
    <row r="304" spans="1:12" x14ac:dyDescent="0.2">
      <c r="A304" s="1309"/>
      <c r="B304" s="882"/>
      <c r="C304" s="874"/>
      <c r="D304" s="874"/>
      <c r="E304" s="875"/>
      <c r="F304" s="880"/>
      <c r="G304" s="880"/>
      <c r="H304" s="877"/>
      <c r="I304" s="877"/>
      <c r="J304" s="877"/>
      <c r="K304" s="872">
        <f>K299+K301</f>
        <v>4457280.0000000279</v>
      </c>
    </row>
    <row r="305" spans="1:12" x14ac:dyDescent="0.2">
      <c r="A305" s="1309"/>
      <c r="B305" s="223" t="s">
        <v>376</v>
      </c>
      <c r="C305" s="189"/>
      <c r="D305" s="189"/>
      <c r="E305" s="63"/>
      <c r="F305" s="190"/>
      <c r="G305" s="190"/>
      <c r="H305" s="66"/>
      <c r="I305" s="66"/>
      <c r="J305" s="66"/>
      <c r="K305" s="883">
        <f>K304-K303</f>
        <v>4421712.000000027</v>
      </c>
      <c r="L305" s="896" t="s">
        <v>1211</v>
      </c>
    </row>
    <row r="306" spans="1:12" x14ac:dyDescent="0.2">
      <c r="A306" s="1309"/>
      <c r="B306" s="865" t="s">
        <v>1291</v>
      </c>
      <c r="C306" s="874">
        <v>38992491</v>
      </c>
      <c r="D306" s="874">
        <v>1672727.27</v>
      </c>
      <c r="E306" s="875">
        <v>1</v>
      </c>
      <c r="F306" s="880">
        <v>267.3458</v>
      </c>
      <c r="G306" s="880">
        <v>268.84629999999999</v>
      </c>
      <c r="H306" s="877">
        <f>G306-F306</f>
        <v>1.5004999999999882</v>
      </c>
      <c r="I306" s="877"/>
      <c r="J306" s="877"/>
      <c r="K306" s="1160">
        <f>(G306-F306)*D306*E306</f>
        <v>2509927.2686349801</v>
      </c>
    </row>
    <row r="307" spans="1:12" x14ac:dyDescent="0.2">
      <c r="A307" s="1309"/>
      <c r="B307" s="865" t="s">
        <v>1290</v>
      </c>
      <c r="C307" s="874">
        <v>38992491</v>
      </c>
      <c r="D307" s="874">
        <v>1672727.27</v>
      </c>
      <c r="E307" s="875">
        <v>1</v>
      </c>
      <c r="F307" s="880">
        <v>4.2919</v>
      </c>
      <c r="G307" s="880">
        <v>4.4154999999999998</v>
      </c>
      <c r="H307" s="877">
        <f>G307-F307</f>
        <v>0.12359999999999971</v>
      </c>
      <c r="I307" s="877"/>
      <c r="J307" s="877"/>
      <c r="K307" s="1160">
        <f>(G307-F307)*D307*E307</f>
        <v>206749.09057199952</v>
      </c>
      <c r="L307" s="896" t="s">
        <v>1211</v>
      </c>
    </row>
    <row r="308" spans="1:12" x14ac:dyDescent="0.2">
      <c r="A308" s="1309"/>
      <c r="B308" s="223" t="s">
        <v>1292</v>
      </c>
      <c r="C308" s="189"/>
      <c r="D308" s="189"/>
      <c r="E308" s="63"/>
      <c r="F308" s="190"/>
      <c r="G308" s="190"/>
      <c r="H308" s="66"/>
      <c r="I308" s="66"/>
      <c r="J308" s="66"/>
      <c r="K308" s="883">
        <f>K306-K307</f>
        <v>2303178.1780629805</v>
      </c>
      <c r="L308" s="1081">
        <f>SUM(K308,K305,K298,K289)</f>
        <v>22559610.178062968</v>
      </c>
    </row>
    <row r="309" spans="1:12" ht="12.75" customHeight="1" x14ac:dyDescent="0.2">
      <c r="A309" s="1309"/>
      <c r="B309" s="119" t="s">
        <v>91</v>
      </c>
      <c r="C309" s="43">
        <v>38992579</v>
      </c>
      <c r="D309" s="43">
        <v>3450000</v>
      </c>
      <c r="E309" s="44">
        <v>1</v>
      </c>
      <c r="F309" s="526">
        <v>639.92560000000003</v>
      </c>
      <c r="G309" s="526">
        <v>639.92560000000003</v>
      </c>
      <c r="H309" s="46">
        <f t="shared" ref="H309:H314" si="33">G309-F309</f>
        <v>0</v>
      </c>
      <c r="I309" s="46"/>
      <c r="J309" s="46"/>
      <c r="K309" s="194">
        <f>H309*D309*E309</f>
        <v>0</v>
      </c>
    </row>
    <row r="310" spans="1:12" x14ac:dyDescent="0.2">
      <c r="A310" s="1309"/>
      <c r="B310" s="119" t="s">
        <v>92</v>
      </c>
      <c r="C310" s="43">
        <v>38992580</v>
      </c>
      <c r="D310" s="43">
        <v>3450000</v>
      </c>
      <c r="E310" s="44">
        <v>1</v>
      </c>
      <c r="F310" s="526">
        <v>143.4588</v>
      </c>
      <c r="G310" s="526">
        <v>146.6164</v>
      </c>
      <c r="H310" s="46">
        <f t="shared" si="33"/>
        <v>3.1576000000000022</v>
      </c>
      <c r="I310" s="46"/>
      <c r="J310" s="46"/>
      <c r="K310" s="194">
        <f>H310*D310*E310</f>
        <v>10893720.000000007</v>
      </c>
    </row>
    <row r="311" spans="1:12" x14ac:dyDescent="0.2">
      <c r="A311" s="1309"/>
      <c r="B311" s="88" t="s">
        <v>8</v>
      </c>
      <c r="C311" s="43"/>
      <c r="D311" s="43"/>
      <c r="E311" s="44"/>
      <c r="F311" s="52"/>
      <c r="G311" s="52"/>
      <c r="H311" s="46"/>
      <c r="I311" s="46"/>
      <c r="J311" s="46"/>
      <c r="K311" s="195">
        <f>K309+K310</f>
        <v>10893720.000000007</v>
      </c>
    </row>
    <row r="312" spans="1:12" x14ac:dyDescent="0.2">
      <c r="A312" s="1309"/>
      <c r="B312" s="119" t="s">
        <v>93</v>
      </c>
      <c r="C312" s="43">
        <v>38992579</v>
      </c>
      <c r="D312" s="43">
        <v>3450000</v>
      </c>
      <c r="E312" s="44">
        <v>1</v>
      </c>
      <c r="F312" s="526">
        <v>7.7000000000000002E-3</v>
      </c>
      <c r="G312" s="526">
        <v>7.7000000000000002E-3</v>
      </c>
      <c r="H312" s="46">
        <f t="shared" si="33"/>
        <v>0</v>
      </c>
      <c r="I312" s="46"/>
      <c r="J312" s="46"/>
      <c r="K312" s="194">
        <f>H312*D312*E312</f>
        <v>0</v>
      </c>
    </row>
    <row r="313" spans="1:12" x14ac:dyDescent="0.2">
      <c r="A313" s="1309"/>
      <c r="B313" s="119" t="s">
        <v>94</v>
      </c>
      <c r="C313" s="43">
        <v>38992567</v>
      </c>
      <c r="D313" s="43">
        <v>920000</v>
      </c>
      <c r="E313" s="44">
        <v>1</v>
      </c>
      <c r="F313" s="526">
        <v>238.47880000000001</v>
      </c>
      <c r="G313" s="526">
        <v>240.36269999999999</v>
      </c>
      <c r="H313" s="46">
        <f t="shared" si="33"/>
        <v>1.8838999999999828</v>
      </c>
      <c r="I313" s="46"/>
      <c r="J313" s="46"/>
      <c r="K313" s="194">
        <f>H313*D313*E313</f>
        <v>1733187.9999999842</v>
      </c>
    </row>
    <row r="314" spans="1:12" x14ac:dyDescent="0.2">
      <c r="A314" s="1309"/>
      <c r="B314" s="119" t="s">
        <v>95</v>
      </c>
      <c r="C314" s="43">
        <v>38992580</v>
      </c>
      <c r="D314" s="43">
        <v>3450000</v>
      </c>
      <c r="E314" s="44">
        <v>1</v>
      </c>
      <c r="F314" s="526">
        <v>2.7000000000000001E-3</v>
      </c>
      <c r="G314" s="526">
        <v>2.7000000000000001E-3</v>
      </c>
      <c r="H314" s="46">
        <f t="shared" si="33"/>
        <v>0</v>
      </c>
      <c r="I314" s="46"/>
      <c r="J314" s="46"/>
      <c r="K314" s="194">
        <f>H314*D314*E314</f>
        <v>0</v>
      </c>
    </row>
    <row r="315" spans="1:12" x14ac:dyDescent="0.2">
      <c r="A315" s="1309"/>
      <c r="B315" s="99" t="s">
        <v>1148</v>
      </c>
      <c r="C315" s="43"/>
      <c r="D315" s="43"/>
      <c r="E315" s="44"/>
      <c r="F315" s="526"/>
      <c r="G315" s="526"/>
      <c r="H315" s="46"/>
      <c r="I315" s="46"/>
      <c r="J315" s="46"/>
      <c r="K315" s="1261">
        <v>25380</v>
      </c>
      <c r="L315" s="749" t="s">
        <v>1461</v>
      </c>
    </row>
    <row r="316" spans="1:12" x14ac:dyDescent="0.2">
      <c r="A316" s="1309"/>
      <c r="B316" s="88" t="s">
        <v>52</v>
      </c>
      <c r="C316" s="43"/>
      <c r="D316" s="43"/>
      <c r="E316" s="44"/>
      <c r="F316" s="70"/>
      <c r="G316" s="70"/>
      <c r="H316" s="46"/>
      <c r="I316" s="46"/>
      <c r="J316" s="46"/>
      <c r="K316" s="195">
        <f>K312+K313+K314-K315</f>
        <v>1707807.9999999842</v>
      </c>
    </row>
    <row r="317" spans="1:12" s="4" customFormat="1" x14ac:dyDescent="0.2">
      <c r="A317" s="1309"/>
      <c r="B317" s="71" t="s">
        <v>96</v>
      </c>
      <c r="C317" s="62"/>
      <c r="D317" s="62"/>
      <c r="E317" s="63"/>
      <c r="F317" s="64"/>
      <c r="G317" s="64"/>
      <c r="H317" s="65"/>
      <c r="I317" s="66"/>
      <c r="J317" s="66"/>
      <c r="K317" s="576">
        <f>K311-K316</f>
        <v>9185912.0000000224</v>
      </c>
      <c r="L317" s="896">
        <v>1</v>
      </c>
    </row>
    <row r="318" spans="1:12" x14ac:dyDescent="0.2">
      <c r="A318" s="1309"/>
      <c r="B318" s="119" t="s">
        <v>97</v>
      </c>
      <c r="C318" s="43">
        <v>50499751</v>
      </c>
      <c r="D318" s="43">
        <v>60000</v>
      </c>
      <c r="E318" s="44">
        <v>1</v>
      </c>
      <c r="F318" s="526">
        <v>19461.544000000002</v>
      </c>
      <c r="G318" s="526">
        <v>20000.219000000001</v>
      </c>
      <c r="H318" s="771">
        <f>G318-F318</f>
        <v>538.67499999999927</v>
      </c>
      <c r="I318" s="46"/>
      <c r="J318" s="46"/>
      <c r="K318" s="194">
        <f>H318*D318*E318</f>
        <v>32320499.999999955</v>
      </c>
    </row>
    <row r="319" spans="1:12" x14ac:dyDescent="0.2">
      <c r="A319" s="1309"/>
      <c r="B319" s="119" t="s">
        <v>98</v>
      </c>
      <c r="C319" s="43">
        <v>50501205</v>
      </c>
      <c r="D319" s="43">
        <v>60000</v>
      </c>
      <c r="E319" s="44">
        <v>1</v>
      </c>
      <c r="F319" s="526">
        <v>13246.558000000001</v>
      </c>
      <c r="G319" s="526">
        <v>13769.646000000001</v>
      </c>
      <c r="H319" s="46">
        <f t="shared" ref="H319:H328" si="34">G319-F319</f>
        <v>523.08799999999974</v>
      </c>
      <c r="I319" s="46"/>
      <c r="J319" s="46"/>
      <c r="K319" s="194">
        <f t="shared" ref="K319:K322" si="35">H319*D319*E319</f>
        <v>31385279.999999985</v>
      </c>
    </row>
    <row r="320" spans="1:12" x14ac:dyDescent="0.2">
      <c r="A320" s="1309"/>
      <c r="B320" s="119" t="s">
        <v>99</v>
      </c>
      <c r="C320" s="43">
        <v>208176934</v>
      </c>
      <c r="D320" s="43">
        <v>87272.726999999999</v>
      </c>
      <c r="E320" s="44">
        <v>1</v>
      </c>
      <c r="F320" s="526">
        <v>11085.675999999999</v>
      </c>
      <c r="G320" s="526">
        <v>11085.675999999999</v>
      </c>
      <c r="H320" s="46">
        <f t="shared" si="34"/>
        <v>0</v>
      </c>
      <c r="I320" s="46"/>
      <c r="J320" s="46"/>
      <c r="K320" s="194">
        <f t="shared" si="35"/>
        <v>0</v>
      </c>
    </row>
    <row r="321" spans="1:12" x14ac:dyDescent="0.2">
      <c r="A321" s="1309"/>
      <c r="B321" s="119" t="s">
        <v>100</v>
      </c>
      <c r="C321" s="43">
        <v>38992435</v>
      </c>
      <c r="D321" s="43">
        <v>400000</v>
      </c>
      <c r="E321" s="44">
        <v>1</v>
      </c>
      <c r="F321" s="526">
        <v>2457.0100000000002</v>
      </c>
      <c r="G321" s="526">
        <v>2529.2199999999998</v>
      </c>
      <c r="H321" s="46">
        <f t="shared" si="34"/>
        <v>72.209999999999582</v>
      </c>
      <c r="I321" s="46"/>
      <c r="J321" s="46"/>
      <c r="K321" s="194">
        <f t="shared" si="35"/>
        <v>28883999.999999832</v>
      </c>
    </row>
    <row r="322" spans="1:12" x14ac:dyDescent="0.2">
      <c r="A322" s="1309"/>
      <c r="B322" s="99" t="s">
        <v>101</v>
      </c>
      <c r="C322" s="43">
        <v>38992436</v>
      </c>
      <c r="D322" s="43">
        <v>400000</v>
      </c>
      <c r="E322" s="44">
        <v>1</v>
      </c>
      <c r="F322" s="525">
        <v>1981.14</v>
      </c>
      <c r="G322" s="525">
        <v>2047.37</v>
      </c>
      <c r="H322" s="771">
        <f>G322-F322</f>
        <v>66.229999999999791</v>
      </c>
      <c r="I322" s="46"/>
      <c r="J322" s="46"/>
      <c r="K322" s="194">
        <f t="shared" si="35"/>
        <v>26491999.999999918</v>
      </c>
    </row>
    <row r="323" spans="1:12" x14ac:dyDescent="0.2">
      <c r="A323" s="1309"/>
      <c r="B323" s="88" t="s">
        <v>8</v>
      </c>
      <c r="C323" s="43"/>
      <c r="D323" s="43"/>
      <c r="E323" s="44"/>
      <c r="F323" s="474"/>
      <c r="G323" s="70"/>
      <c r="H323" s="46"/>
      <c r="I323" s="46"/>
      <c r="J323" s="46"/>
      <c r="K323" s="195">
        <f>K318+K319+K321+K320+K322</f>
        <v>119081779.9999997</v>
      </c>
    </row>
    <row r="324" spans="1:12" x14ac:dyDescent="0.2">
      <c r="A324" s="1309"/>
      <c r="B324" s="684" t="s">
        <v>1192</v>
      </c>
      <c r="C324" s="43">
        <v>51002244</v>
      </c>
      <c r="D324" s="43">
        <v>200</v>
      </c>
      <c r="E324" s="44">
        <v>1</v>
      </c>
      <c r="F324" s="524">
        <v>7346.45</v>
      </c>
      <c r="G324" s="524">
        <v>7664.06</v>
      </c>
      <c r="H324" s="46">
        <f t="shared" si="34"/>
        <v>317.61000000000058</v>
      </c>
      <c r="I324" s="46"/>
      <c r="J324" s="87" t="s">
        <v>337</v>
      </c>
      <c r="K324" s="194">
        <f>H324*D324*E324</f>
        <v>63522.000000000116</v>
      </c>
    </row>
    <row r="325" spans="1:12" x14ac:dyDescent="0.2">
      <c r="A325" s="1309"/>
      <c r="B325" s="684" t="s">
        <v>1193</v>
      </c>
      <c r="C325" s="43">
        <v>51002246</v>
      </c>
      <c r="D325" s="43">
        <v>200</v>
      </c>
      <c r="E325" s="44">
        <v>1</v>
      </c>
      <c r="F325" s="524">
        <v>5343.82</v>
      </c>
      <c r="G325" s="524">
        <v>5343.82</v>
      </c>
      <c r="H325" s="46">
        <f t="shared" ref="H325" si="36">G325-F325</f>
        <v>0</v>
      </c>
      <c r="I325" s="46"/>
      <c r="J325" s="87" t="s">
        <v>337</v>
      </c>
      <c r="K325" s="194">
        <f>H325*D325*E325</f>
        <v>0</v>
      </c>
    </row>
    <row r="326" spans="1:12" x14ac:dyDescent="0.2">
      <c r="A326" s="1309"/>
      <c r="B326" s="685" t="s">
        <v>1194</v>
      </c>
      <c r="C326" s="43">
        <v>51002243</v>
      </c>
      <c r="D326" s="43">
        <v>200</v>
      </c>
      <c r="E326" s="44">
        <v>1</v>
      </c>
      <c r="F326" s="524">
        <v>4266.8999999999996</v>
      </c>
      <c r="G326" s="524">
        <v>4266.8999999999996</v>
      </c>
      <c r="H326" s="46">
        <f t="shared" si="34"/>
        <v>0</v>
      </c>
      <c r="I326" s="46"/>
      <c r="J326" s="46"/>
      <c r="K326" s="194">
        <f t="shared" ref="K326:K328" si="37">H326*D326*E326</f>
        <v>0</v>
      </c>
    </row>
    <row r="327" spans="1:12" x14ac:dyDescent="0.2">
      <c r="A327" s="1309"/>
      <c r="B327" s="686" t="s">
        <v>1195</v>
      </c>
      <c r="C327" s="43">
        <v>51000226</v>
      </c>
      <c r="D327" s="43">
        <v>1454.55</v>
      </c>
      <c r="E327" s="44">
        <v>1</v>
      </c>
      <c r="F327" s="524">
        <v>3288.6869999999999</v>
      </c>
      <c r="G327" s="524">
        <v>3338.1959999999999</v>
      </c>
      <c r="H327" s="46">
        <f t="shared" si="34"/>
        <v>49.509000000000015</v>
      </c>
      <c r="I327" s="46"/>
      <c r="J327" s="46"/>
      <c r="K327" s="194">
        <f t="shared" si="37"/>
        <v>72013.315950000018</v>
      </c>
    </row>
    <row r="328" spans="1:12" x14ac:dyDescent="0.2">
      <c r="A328" s="1309"/>
      <c r="B328" s="685" t="s">
        <v>1196</v>
      </c>
      <c r="C328" s="43">
        <v>51000225</v>
      </c>
      <c r="D328" s="43">
        <v>1454.55</v>
      </c>
      <c r="E328" s="44">
        <v>1</v>
      </c>
      <c r="F328" s="524">
        <v>2098.5619999999999</v>
      </c>
      <c r="G328" s="524">
        <v>2151.2069999999999</v>
      </c>
      <c r="H328" s="46">
        <f t="shared" si="34"/>
        <v>52.644999999999982</v>
      </c>
      <c r="I328" s="46"/>
      <c r="J328" s="46"/>
      <c r="K328" s="194">
        <f t="shared" si="37"/>
        <v>76574.784749999977</v>
      </c>
    </row>
    <row r="329" spans="1:12" x14ac:dyDescent="0.2">
      <c r="A329" s="1309"/>
      <c r="B329" s="88" t="s">
        <v>52</v>
      </c>
      <c r="C329" s="43"/>
      <c r="D329" s="43"/>
      <c r="E329" s="44"/>
      <c r="F329" s="70"/>
      <c r="G329" s="70"/>
      <c r="H329" s="46"/>
      <c r="I329" s="46"/>
      <c r="J329" s="46"/>
      <c r="K329" s="195">
        <f>K324+K325+K326+K327+K328</f>
        <v>212110.10070000013</v>
      </c>
    </row>
    <row r="330" spans="1:12" s="4" customFormat="1" x14ac:dyDescent="0.2">
      <c r="A330" s="1309"/>
      <c r="B330" s="71" t="s">
        <v>102</v>
      </c>
      <c r="C330" s="62"/>
      <c r="D330" s="62"/>
      <c r="E330" s="63"/>
      <c r="F330" s="64"/>
      <c r="G330" s="64"/>
      <c r="H330" s="65"/>
      <c r="I330" s="66"/>
      <c r="J330" s="66"/>
      <c r="K330" s="576">
        <f>K323-K329</f>
        <v>118869669.8992997</v>
      </c>
      <c r="L330" s="896">
        <v>2</v>
      </c>
    </row>
    <row r="331" spans="1:12" x14ac:dyDescent="0.2">
      <c r="A331" s="1309"/>
      <c r="B331" s="92" t="s">
        <v>1227</v>
      </c>
      <c r="C331" s="54">
        <v>43890138</v>
      </c>
      <c r="D331" s="54">
        <v>1254545.4545</v>
      </c>
      <c r="E331" s="55">
        <v>1</v>
      </c>
      <c r="F331" s="524">
        <v>1538.90813</v>
      </c>
      <c r="G331" s="524">
        <v>1540.1391000000001</v>
      </c>
      <c r="H331" s="57">
        <f>G331-F331</f>
        <v>1.2309700000000703</v>
      </c>
      <c r="I331" s="57"/>
      <c r="J331" s="57"/>
      <c r="K331" s="612">
        <f>H331*E331*D331</f>
        <v>1544307.8181259532</v>
      </c>
    </row>
    <row r="332" spans="1:12" x14ac:dyDescent="0.2">
      <c r="A332" s="1309"/>
      <c r="B332" s="92" t="s">
        <v>1228</v>
      </c>
      <c r="C332" s="54">
        <v>43890138</v>
      </c>
      <c r="D332" s="54">
        <v>1254545.4545</v>
      </c>
      <c r="E332" s="55">
        <v>1</v>
      </c>
      <c r="F332" s="524">
        <v>3.62425</v>
      </c>
      <c r="G332" s="524">
        <v>3.75692</v>
      </c>
      <c r="H332" s="57">
        <f>G332-F332</f>
        <v>0.13267000000000007</v>
      </c>
      <c r="I332" s="57"/>
      <c r="J332" s="57"/>
      <c r="K332" s="612">
        <f>H332*E332*D332</f>
        <v>166440.54544851507</v>
      </c>
    </row>
    <row r="333" spans="1:12" x14ac:dyDescent="0.2">
      <c r="A333" s="1309"/>
      <c r="B333" s="223" t="s">
        <v>1229</v>
      </c>
      <c r="C333" s="189"/>
      <c r="D333" s="189"/>
      <c r="E333" s="63"/>
      <c r="F333" s="190"/>
      <c r="G333" s="190"/>
      <c r="H333" s="66"/>
      <c r="I333" s="66"/>
      <c r="J333" s="66"/>
      <c r="K333" s="576">
        <f>K331-K332</f>
        <v>1377867.2726774381</v>
      </c>
      <c r="L333" s="749">
        <v>3</v>
      </c>
    </row>
    <row r="334" spans="1:12" x14ac:dyDescent="0.2">
      <c r="A334" s="1309"/>
      <c r="B334" s="859" t="s">
        <v>103</v>
      </c>
      <c r="C334" s="845">
        <v>3068366</v>
      </c>
      <c r="D334" s="845">
        <v>10000</v>
      </c>
      <c r="E334" s="846">
        <v>1.0035400000000001</v>
      </c>
      <c r="F334" s="847">
        <v>62475</v>
      </c>
      <c r="G334" s="847">
        <v>62475</v>
      </c>
      <c r="H334" s="848">
        <f>G334-F334</f>
        <v>0</v>
      </c>
      <c r="I334" s="848"/>
      <c r="J334" s="848"/>
      <c r="K334" s="849">
        <f>(G334-F334)*D334*E334</f>
        <v>0</v>
      </c>
    </row>
    <row r="335" spans="1:12" x14ac:dyDescent="0.2">
      <c r="A335" s="1309"/>
      <c r="B335" s="864" t="s">
        <v>8</v>
      </c>
      <c r="C335" s="845"/>
      <c r="D335" s="845"/>
      <c r="E335" s="846"/>
      <c r="F335" s="847"/>
      <c r="G335" s="847"/>
      <c r="H335" s="848"/>
      <c r="I335" s="848"/>
      <c r="J335" s="848"/>
      <c r="K335" s="853">
        <f>K334</f>
        <v>0</v>
      </c>
    </row>
    <row r="336" spans="1:12" x14ac:dyDescent="0.2">
      <c r="A336" s="1309"/>
      <c r="B336" s="859" t="s">
        <v>104</v>
      </c>
      <c r="C336" s="845">
        <v>619558</v>
      </c>
      <c r="D336" s="845">
        <v>4950</v>
      </c>
      <c r="E336" s="846">
        <v>0.99890000000000001</v>
      </c>
      <c r="F336" s="847">
        <v>5280</v>
      </c>
      <c r="G336" s="847">
        <v>5280</v>
      </c>
      <c r="H336" s="848">
        <f>G336-F336</f>
        <v>0</v>
      </c>
      <c r="I336" s="848"/>
      <c r="J336" s="848"/>
      <c r="K336" s="849">
        <f>(G336-F336)*D336*E336</f>
        <v>0</v>
      </c>
    </row>
    <row r="337" spans="1:13" x14ac:dyDescent="0.2">
      <c r="A337" s="1309"/>
      <c r="B337" s="859" t="s">
        <v>105</v>
      </c>
      <c r="C337" s="845"/>
      <c r="D337" s="845">
        <v>6600</v>
      </c>
      <c r="E337" s="846">
        <v>0.93220000000000003</v>
      </c>
      <c r="F337" s="847">
        <v>4949</v>
      </c>
      <c r="G337" s="847">
        <v>4949</v>
      </c>
      <c r="H337" s="848">
        <f>G337-F337</f>
        <v>0</v>
      </c>
      <c r="I337" s="848"/>
      <c r="J337" s="848"/>
      <c r="K337" s="849">
        <f>(G337-F337)*D337*E337</f>
        <v>0</v>
      </c>
    </row>
    <row r="338" spans="1:13" x14ac:dyDescent="0.2">
      <c r="A338" s="1309"/>
      <c r="B338" s="864" t="s">
        <v>52</v>
      </c>
      <c r="C338" s="845"/>
      <c r="D338" s="845"/>
      <c r="E338" s="846"/>
      <c r="F338" s="847"/>
      <c r="G338" s="847"/>
      <c r="H338" s="848"/>
      <c r="I338" s="848"/>
      <c r="J338" s="848"/>
      <c r="K338" s="853">
        <f>K336+K337</f>
        <v>0</v>
      </c>
    </row>
    <row r="339" spans="1:13" s="4" customFormat="1" x14ac:dyDescent="0.2">
      <c r="A339" s="1309"/>
      <c r="B339" s="223" t="s">
        <v>106</v>
      </c>
      <c r="C339" s="109"/>
      <c r="D339" s="109"/>
      <c r="E339" s="110"/>
      <c r="F339" s="111"/>
      <c r="G339" s="111"/>
      <c r="H339" s="112"/>
      <c r="I339" s="112"/>
      <c r="J339" s="112"/>
      <c r="K339" s="576">
        <f>K335-K338</f>
        <v>0</v>
      </c>
      <c r="L339" s="896"/>
    </row>
    <row r="340" spans="1:13" x14ac:dyDescent="0.2">
      <c r="A340" s="1309"/>
      <c r="B340" s="859" t="s">
        <v>438</v>
      </c>
      <c r="C340" s="845">
        <v>216430332</v>
      </c>
      <c r="D340" s="845">
        <v>480</v>
      </c>
      <c r="E340" s="846">
        <v>1</v>
      </c>
      <c r="F340" s="847">
        <v>1554943.4</v>
      </c>
      <c r="G340" s="847">
        <v>1554943.4</v>
      </c>
      <c r="H340" s="848">
        <f t="shared" ref="H340:H349" si="38">G340-F340</f>
        <v>0</v>
      </c>
      <c r="I340" s="848"/>
      <c r="J340" s="848"/>
      <c r="K340" s="849">
        <f>(G340-F340)*D340*E340</f>
        <v>0</v>
      </c>
    </row>
    <row r="341" spans="1:13" x14ac:dyDescent="0.2">
      <c r="A341" s="1309"/>
      <c r="B341" s="859" t="s">
        <v>107</v>
      </c>
      <c r="C341" s="845">
        <v>216430332</v>
      </c>
      <c r="D341" s="845">
        <v>480</v>
      </c>
      <c r="E341" s="846">
        <v>1</v>
      </c>
      <c r="F341" s="847">
        <v>1012.11</v>
      </c>
      <c r="G341" s="847">
        <v>1012.11</v>
      </c>
      <c r="H341" s="848">
        <f t="shared" si="38"/>
        <v>0</v>
      </c>
      <c r="I341" s="848"/>
      <c r="J341" s="848"/>
      <c r="K341" s="849">
        <f>(G341-F341)*D341*E341</f>
        <v>0</v>
      </c>
    </row>
    <row r="342" spans="1:13" s="4" customFormat="1" x14ac:dyDescent="0.2">
      <c r="A342" s="1309"/>
      <c r="B342" s="123" t="s">
        <v>108</v>
      </c>
      <c r="C342" s="120"/>
      <c r="D342" s="120"/>
      <c r="E342" s="63"/>
      <c r="F342" s="121"/>
      <c r="G342" s="121"/>
      <c r="H342" s="66"/>
      <c r="I342" s="66"/>
      <c r="J342" s="66"/>
      <c r="K342" s="576">
        <f>K340-K341</f>
        <v>0</v>
      </c>
      <c r="L342" s="896"/>
    </row>
    <row r="343" spans="1:13" s="4" customFormat="1" x14ac:dyDescent="0.2">
      <c r="A343" s="1309"/>
      <c r="B343" s="122" t="s">
        <v>326</v>
      </c>
      <c r="C343" s="54">
        <v>211492922</v>
      </c>
      <c r="D343" s="54">
        <v>180000</v>
      </c>
      <c r="E343" s="55">
        <v>1</v>
      </c>
      <c r="F343" s="524">
        <v>4359.5287399999997</v>
      </c>
      <c r="G343" s="524">
        <v>4371.6269899999998</v>
      </c>
      <c r="H343" s="57">
        <f t="shared" si="38"/>
        <v>12.098250000000007</v>
      </c>
      <c r="I343" s="57"/>
      <c r="J343" s="57"/>
      <c r="K343" s="198">
        <f>(G343-F343)*D343*E343</f>
        <v>2177685.0000000014</v>
      </c>
      <c r="L343" s="896"/>
    </row>
    <row r="344" spans="1:13" s="4" customFormat="1" x14ac:dyDescent="0.2">
      <c r="A344" s="1309"/>
      <c r="B344" s="122" t="s">
        <v>107</v>
      </c>
      <c r="C344" s="54">
        <v>211492922</v>
      </c>
      <c r="D344" s="54">
        <v>180000</v>
      </c>
      <c r="E344" s="55">
        <v>1</v>
      </c>
      <c r="F344" s="524">
        <v>10.454330000000001</v>
      </c>
      <c r="G344" s="524">
        <v>10.61312</v>
      </c>
      <c r="H344" s="57">
        <f t="shared" si="38"/>
        <v>0.15878999999999976</v>
      </c>
      <c r="I344" s="57"/>
      <c r="J344" s="57"/>
      <c r="K344" s="198">
        <f>(G344-F344)*D344*E344</f>
        <v>28582.199999999957</v>
      </c>
      <c r="L344" s="896"/>
    </row>
    <row r="345" spans="1:13" s="4" customFormat="1" x14ac:dyDescent="0.2">
      <c r="A345" s="1309"/>
      <c r="B345" s="71" t="s">
        <v>327</v>
      </c>
      <c r="C345" s="120"/>
      <c r="D345" s="120"/>
      <c r="E345" s="63"/>
      <c r="F345" s="190"/>
      <c r="G345" s="121"/>
      <c r="H345" s="66"/>
      <c r="I345" s="66"/>
      <c r="J345" s="66"/>
      <c r="K345" s="576">
        <f>K343-K344</f>
        <v>2149102.8000000012</v>
      </c>
      <c r="L345" s="896">
        <v>4</v>
      </c>
    </row>
    <row r="346" spans="1:13" x14ac:dyDescent="0.2">
      <c r="A346" s="1309"/>
      <c r="B346" s="122" t="s">
        <v>870</v>
      </c>
      <c r="C346" s="43">
        <v>59723496</v>
      </c>
      <c r="D346" s="124">
        <v>1440000</v>
      </c>
      <c r="E346" s="44">
        <v>1</v>
      </c>
      <c r="F346" s="595">
        <v>8.1949999999999995E-2</v>
      </c>
      <c r="G346" s="1236">
        <v>8.1949999999999995E-2</v>
      </c>
      <c r="H346" s="1237">
        <f t="shared" si="38"/>
        <v>0</v>
      </c>
      <c r="I346" s="1237"/>
      <c r="J346" s="1237"/>
      <c r="K346" s="1231">
        <f>(G346-F346)*D346*E346</f>
        <v>0</v>
      </c>
    </row>
    <row r="347" spans="1:13" x14ac:dyDescent="0.2">
      <c r="A347" s="1309"/>
      <c r="B347" s="88" t="s">
        <v>8</v>
      </c>
      <c r="C347" s="43"/>
      <c r="D347" s="43"/>
      <c r="E347" s="44"/>
      <c r="F347" s="125"/>
      <c r="G347" s="125"/>
      <c r="H347" s="46"/>
      <c r="I347" s="46"/>
      <c r="J347" s="46"/>
      <c r="K347" s="195">
        <f>K346</f>
        <v>0</v>
      </c>
      <c r="M347" s="1218" t="s">
        <v>1462</v>
      </c>
    </row>
    <row r="348" spans="1:13" x14ac:dyDescent="0.2">
      <c r="A348" s="1309"/>
      <c r="B348" s="122" t="s">
        <v>871</v>
      </c>
      <c r="C348" s="43">
        <v>59723496</v>
      </c>
      <c r="D348" s="124">
        <v>1440000</v>
      </c>
      <c r="E348" s="44">
        <v>1</v>
      </c>
      <c r="F348" s="596">
        <v>2.6880600000000001</v>
      </c>
      <c r="G348" s="596">
        <v>2.7427299999999999</v>
      </c>
      <c r="H348" s="46">
        <f t="shared" si="38"/>
        <v>5.4669999999999774E-2</v>
      </c>
      <c r="I348" s="46"/>
      <c r="J348" s="46"/>
      <c r="K348" s="194">
        <f>(G348-F348)*D348*E348</f>
        <v>78724.799999999668</v>
      </c>
      <c r="M348" s="1146"/>
    </row>
    <row r="349" spans="1:13" x14ac:dyDescent="0.2">
      <c r="A349" s="1309"/>
      <c r="B349" s="122" t="s">
        <v>109</v>
      </c>
      <c r="C349" s="43"/>
      <c r="D349" s="43">
        <v>1440000</v>
      </c>
      <c r="E349" s="44">
        <v>1</v>
      </c>
      <c r="F349" s="126">
        <v>3.6080000000000001</v>
      </c>
      <c r="G349" s="126">
        <v>3.6080000000000001</v>
      </c>
      <c r="H349" s="46">
        <f t="shared" si="38"/>
        <v>0</v>
      </c>
      <c r="I349" s="46"/>
      <c r="J349" s="46"/>
      <c r="K349" s="194">
        <f>(G349-F349)*D349*E349</f>
        <v>0</v>
      </c>
    </row>
    <row r="350" spans="1:13" x14ac:dyDescent="0.2">
      <c r="A350" s="1309"/>
      <c r="B350" s="59" t="s">
        <v>410</v>
      </c>
      <c r="C350" s="43"/>
      <c r="D350" s="43"/>
      <c r="E350" s="44"/>
      <c r="F350" s="126"/>
      <c r="G350" s="126"/>
      <c r="H350" s="46"/>
      <c r="I350" s="46"/>
      <c r="J350" s="46"/>
      <c r="K350" s="195">
        <f>K348+K349</f>
        <v>78724.799999999668</v>
      </c>
    </row>
    <row r="351" spans="1:13" s="4" customFormat="1" x14ac:dyDescent="0.2">
      <c r="A351" s="1309"/>
      <c r="B351" s="71" t="s">
        <v>110</v>
      </c>
      <c r="C351" s="62"/>
      <c r="D351" s="62"/>
      <c r="E351" s="63"/>
      <c r="F351" s="64"/>
      <c r="G351" s="64"/>
      <c r="H351" s="65"/>
      <c r="I351" s="66"/>
      <c r="J351" s="66"/>
      <c r="K351" s="576">
        <f>K347-K349-K348</f>
        <v>-78724.799999999668</v>
      </c>
      <c r="L351" s="896">
        <v>5</v>
      </c>
    </row>
    <row r="352" spans="1:13" x14ac:dyDescent="0.2">
      <c r="A352" s="1309"/>
      <c r="B352" s="128" t="s">
        <v>119</v>
      </c>
      <c r="C352" s="43">
        <v>97551584</v>
      </c>
      <c r="D352" s="43">
        <v>1200000</v>
      </c>
      <c r="E352" s="44">
        <v>1</v>
      </c>
      <c r="F352" s="527">
        <v>1490.1478999999999</v>
      </c>
      <c r="G352" s="527">
        <v>1498.1058</v>
      </c>
      <c r="H352" s="46">
        <f>G352-F352</f>
        <v>7.9579000000001088</v>
      </c>
      <c r="I352" s="46"/>
      <c r="J352" s="46"/>
      <c r="K352" s="194">
        <f>(G352-F352)*D352*E352</f>
        <v>9549480.0000001304</v>
      </c>
    </row>
    <row r="353" spans="1:14" x14ac:dyDescent="0.2">
      <c r="A353" s="1309"/>
      <c r="B353" s="128" t="s">
        <v>120</v>
      </c>
      <c r="C353" s="43"/>
      <c r="D353" s="43">
        <v>1200000</v>
      </c>
      <c r="E353" s="44">
        <v>1</v>
      </c>
      <c r="F353" s="528">
        <v>14.6631</v>
      </c>
      <c r="G353" s="528">
        <v>14.757</v>
      </c>
      <c r="H353" s="46">
        <f>G353-F353</f>
        <v>9.389999999999965E-2</v>
      </c>
      <c r="I353" s="46"/>
      <c r="J353" s="46"/>
      <c r="K353" s="194">
        <f>(G353-F353)*D353*E353</f>
        <v>112679.99999999958</v>
      </c>
    </row>
    <row r="354" spans="1:14" s="4" customFormat="1" x14ac:dyDescent="0.2">
      <c r="A354" s="1309"/>
      <c r="B354" s="71" t="s">
        <v>121</v>
      </c>
      <c r="C354" s="120"/>
      <c r="D354" s="120"/>
      <c r="E354" s="63"/>
      <c r="F354" s="121"/>
      <c r="G354" s="121"/>
      <c r="H354" s="66"/>
      <c r="I354" s="66"/>
      <c r="J354" s="66"/>
      <c r="K354" s="576">
        <f>K352-K353</f>
        <v>9436800.0000001304</v>
      </c>
      <c r="L354" s="896">
        <v>6</v>
      </c>
    </row>
    <row r="355" spans="1:14" x14ac:dyDescent="0.2">
      <c r="A355" s="1309"/>
      <c r="B355" s="128" t="s">
        <v>122</v>
      </c>
      <c r="C355" s="43">
        <v>97551583</v>
      </c>
      <c r="D355" s="43">
        <v>1200000</v>
      </c>
      <c r="E355" s="44">
        <v>1</v>
      </c>
      <c r="F355" s="524">
        <v>2101.5473000000002</v>
      </c>
      <c r="G355" s="524">
        <v>2113.5596</v>
      </c>
      <c r="H355" s="46">
        <f t="shared" ref="H355:H382" si="39">G355-F355</f>
        <v>12.012299999999868</v>
      </c>
      <c r="I355" s="46"/>
      <c r="J355" s="46"/>
      <c r="K355" s="194">
        <f>(G355-F355)*D355*E355</f>
        <v>14414759.999999842</v>
      </c>
    </row>
    <row r="356" spans="1:14" x14ac:dyDescent="0.2">
      <c r="A356" s="1309"/>
      <c r="B356" s="128" t="s">
        <v>123</v>
      </c>
      <c r="C356" s="43"/>
      <c r="D356" s="43">
        <v>1200000</v>
      </c>
      <c r="E356" s="44">
        <v>1</v>
      </c>
      <c r="F356" s="524">
        <v>12.4377</v>
      </c>
      <c r="G356" s="524">
        <v>12.5083</v>
      </c>
      <c r="H356" s="46">
        <f t="shared" si="39"/>
        <v>7.0600000000000662E-2</v>
      </c>
      <c r="I356" s="46"/>
      <c r="J356" s="46"/>
      <c r="K356" s="194">
        <f>(G356-F356)*D356*E356</f>
        <v>84720.0000000008</v>
      </c>
    </row>
    <row r="357" spans="1:14" s="4" customFormat="1" x14ac:dyDescent="0.2">
      <c r="A357" s="1309"/>
      <c r="B357" s="71" t="s">
        <v>124</v>
      </c>
      <c r="C357" s="120"/>
      <c r="D357" s="120"/>
      <c r="E357" s="63"/>
      <c r="F357" s="121"/>
      <c r="G357" s="121"/>
      <c r="H357" s="66"/>
      <c r="I357" s="66"/>
      <c r="J357" s="66"/>
      <c r="K357" s="576">
        <f>K355-K356</f>
        <v>14330039.999999842</v>
      </c>
      <c r="L357" s="896">
        <v>7</v>
      </c>
    </row>
    <row r="358" spans="1:14" x14ac:dyDescent="0.2">
      <c r="A358" s="1309"/>
      <c r="B358" s="128" t="s">
        <v>125</v>
      </c>
      <c r="C358" s="43">
        <v>12393394</v>
      </c>
      <c r="D358" s="43">
        <v>1200000</v>
      </c>
      <c r="E358" s="44">
        <v>1</v>
      </c>
      <c r="F358" s="524">
        <v>4018.9193249999998</v>
      </c>
      <c r="G358" s="524">
        <v>4018.9193249999998</v>
      </c>
      <c r="H358" s="46">
        <f t="shared" si="39"/>
        <v>0</v>
      </c>
      <c r="I358" s="46"/>
      <c r="J358" s="46"/>
      <c r="K358" s="194">
        <f>(G358-F358)*D358*E358</f>
        <v>0</v>
      </c>
    </row>
    <row r="359" spans="1:14" x14ac:dyDescent="0.2">
      <c r="A359" s="1309"/>
      <c r="B359" s="128" t="s">
        <v>126</v>
      </c>
      <c r="C359" s="43">
        <v>12393394</v>
      </c>
      <c r="D359" s="43">
        <v>1200000</v>
      </c>
      <c r="E359" s="44">
        <v>1</v>
      </c>
      <c r="F359" s="524">
        <v>8.7089250000000007</v>
      </c>
      <c r="G359" s="524">
        <v>8.7089250000000007</v>
      </c>
      <c r="H359" s="46">
        <f t="shared" si="39"/>
        <v>0</v>
      </c>
      <c r="I359" s="46"/>
      <c r="J359" s="46"/>
      <c r="K359" s="194">
        <f>(G359-F359)*D359*E359</f>
        <v>0</v>
      </c>
    </row>
    <row r="360" spans="1:14" s="4" customFormat="1" x14ac:dyDescent="0.2">
      <c r="A360" s="1309"/>
      <c r="B360" s="71" t="s">
        <v>334</v>
      </c>
      <c r="C360" s="120"/>
      <c r="D360" s="120"/>
      <c r="E360" s="63"/>
      <c r="F360" s="190"/>
      <c r="G360" s="121"/>
      <c r="H360" s="66"/>
      <c r="I360" s="66"/>
      <c r="J360" s="66"/>
      <c r="K360" s="576">
        <f>K358-K359</f>
        <v>0</v>
      </c>
      <c r="L360" s="896">
        <v>8</v>
      </c>
    </row>
    <row r="361" spans="1:14" x14ac:dyDescent="0.2">
      <c r="A361" s="1309"/>
      <c r="B361" s="130" t="s">
        <v>127</v>
      </c>
      <c r="C361" s="43"/>
      <c r="D361" s="43"/>
      <c r="E361" s="44"/>
      <c r="F361" s="70">
        <v>0</v>
      </c>
      <c r="G361" s="70">
        <v>0</v>
      </c>
      <c r="H361" s="46">
        <f t="shared" si="39"/>
        <v>0</v>
      </c>
      <c r="I361" s="46"/>
      <c r="J361" s="46"/>
      <c r="K361" s="194">
        <f>(G361-F361)*D361*E361</f>
        <v>0</v>
      </c>
    </row>
    <row r="362" spans="1:14" x14ac:dyDescent="0.2">
      <c r="A362" s="1309"/>
      <c r="B362" s="128" t="s">
        <v>128</v>
      </c>
      <c r="C362" s="43"/>
      <c r="D362" s="43"/>
      <c r="E362" s="44"/>
      <c r="F362" s="70">
        <v>0</v>
      </c>
      <c r="G362" s="70">
        <v>0</v>
      </c>
      <c r="H362" s="46">
        <f t="shared" si="39"/>
        <v>0</v>
      </c>
      <c r="I362" s="46"/>
      <c r="J362" s="46"/>
      <c r="K362" s="194">
        <f>(G362-F362)*D362*E362</f>
        <v>0</v>
      </c>
    </row>
    <row r="363" spans="1:14" x14ac:dyDescent="0.2">
      <c r="A363" s="1309"/>
      <c r="B363" s="88" t="s">
        <v>1077</v>
      </c>
      <c r="C363" s="43"/>
      <c r="D363" s="43"/>
      <c r="E363" s="44"/>
      <c r="F363" s="70"/>
      <c r="G363" s="70"/>
      <c r="H363" s="46"/>
      <c r="I363" s="46"/>
      <c r="J363" s="46"/>
      <c r="K363" s="195">
        <f>K361-K362</f>
        <v>0</v>
      </c>
      <c r="M363" s="6"/>
    </row>
    <row r="364" spans="1:14" x14ac:dyDescent="0.2">
      <c r="A364" s="1309"/>
      <c r="B364" s="128" t="s">
        <v>129</v>
      </c>
      <c r="C364" s="54">
        <v>2849596</v>
      </c>
      <c r="D364" s="54">
        <v>1</v>
      </c>
      <c r="E364" s="55">
        <v>1</v>
      </c>
      <c r="F364" s="68">
        <v>62708</v>
      </c>
      <c r="G364" s="68">
        <v>62708</v>
      </c>
      <c r="H364" s="57">
        <f t="shared" si="39"/>
        <v>0</v>
      </c>
      <c r="I364" s="57"/>
      <c r="J364" s="57"/>
      <c r="K364" s="196">
        <f>(G364-F364)*D364*E364</f>
        <v>0</v>
      </c>
    </row>
    <row r="365" spans="1:14" x14ac:dyDescent="0.2">
      <c r="A365" s="1309"/>
      <c r="B365" s="130" t="s">
        <v>1043</v>
      </c>
      <c r="C365" s="43">
        <v>2849596</v>
      </c>
      <c r="D365" s="43">
        <v>400</v>
      </c>
      <c r="E365" s="44">
        <v>1</v>
      </c>
      <c r="F365" s="70">
        <v>7900</v>
      </c>
      <c r="G365" s="70">
        <v>7900</v>
      </c>
      <c r="H365" s="46">
        <f t="shared" si="39"/>
        <v>0</v>
      </c>
      <c r="I365" s="46"/>
      <c r="J365" s="46"/>
      <c r="K365" s="194">
        <f>(G365-F365)*D365*E365</f>
        <v>0</v>
      </c>
    </row>
    <row r="366" spans="1:14" x14ac:dyDescent="0.2">
      <c r="A366" s="1309"/>
      <c r="B366" s="128" t="s">
        <v>458</v>
      </c>
      <c r="C366" s="43">
        <v>50136001</v>
      </c>
      <c r="D366" s="43">
        <v>200</v>
      </c>
      <c r="E366" s="44">
        <v>1</v>
      </c>
      <c r="F366" s="524">
        <v>1428.73</v>
      </c>
      <c r="G366" s="524">
        <v>1428.73</v>
      </c>
      <c r="H366" s="46">
        <f t="shared" si="39"/>
        <v>0</v>
      </c>
      <c r="I366" s="46"/>
      <c r="J366" s="46"/>
      <c r="K366" s="194">
        <f>(G366-F366)*D366*E366</f>
        <v>0</v>
      </c>
    </row>
    <row r="367" spans="1:14" x14ac:dyDescent="0.2">
      <c r="A367" s="1309"/>
      <c r="B367" s="128" t="s">
        <v>459</v>
      </c>
      <c r="C367" s="43"/>
      <c r="D367" s="43">
        <v>1</v>
      </c>
      <c r="E367" s="44">
        <v>1</v>
      </c>
      <c r="F367" s="524">
        <v>1862777</v>
      </c>
      <c r="G367" s="524">
        <v>1862777</v>
      </c>
      <c r="H367" s="46">
        <f t="shared" si="39"/>
        <v>0</v>
      </c>
      <c r="I367" s="46"/>
      <c r="J367" s="46"/>
      <c r="K367" s="194">
        <f>(G367-F367)*D367*E367</f>
        <v>0</v>
      </c>
    </row>
    <row r="368" spans="1:14" x14ac:dyDescent="0.2">
      <c r="A368" s="1309"/>
      <c r="B368" s="128" t="s">
        <v>460</v>
      </c>
      <c r="C368" s="43"/>
      <c r="D368" s="43">
        <v>1</v>
      </c>
      <c r="E368" s="44">
        <v>1</v>
      </c>
      <c r="F368" s="524">
        <v>1476391</v>
      </c>
      <c r="G368" s="524">
        <v>1476391</v>
      </c>
      <c r="H368" s="46">
        <f t="shared" si="39"/>
        <v>0</v>
      </c>
      <c r="I368" s="46"/>
      <c r="J368" s="46"/>
      <c r="K368" s="194">
        <f>(G368-F368)*D368*E368</f>
        <v>0</v>
      </c>
      <c r="N368" s="6"/>
    </row>
    <row r="369" spans="1:12" s="4" customFormat="1" x14ac:dyDescent="0.2">
      <c r="A369" s="1309"/>
      <c r="B369" s="71" t="s">
        <v>403</v>
      </c>
      <c r="C369" s="120"/>
      <c r="D369" s="120"/>
      <c r="E369" s="63"/>
      <c r="F369" s="121"/>
      <c r="G369" s="121"/>
      <c r="H369" s="66"/>
      <c r="I369" s="66"/>
      <c r="J369" s="66"/>
      <c r="K369" s="576">
        <f>K364+K365+K366+K367+K368</f>
        <v>0</v>
      </c>
      <c r="L369" s="896">
        <v>9</v>
      </c>
    </row>
    <row r="370" spans="1:12" x14ac:dyDescent="0.2">
      <c r="A370" s="1309"/>
      <c r="B370" s="884" t="s">
        <v>414</v>
      </c>
      <c r="C370" s="845" t="s">
        <v>412</v>
      </c>
      <c r="D370" s="845">
        <v>1</v>
      </c>
      <c r="E370" s="846">
        <v>1</v>
      </c>
      <c r="F370" s="847">
        <v>3792127</v>
      </c>
      <c r="G370" s="847">
        <v>3792127</v>
      </c>
      <c r="H370" s="848">
        <f t="shared" si="39"/>
        <v>0</v>
      </c>
      <c r="I370" s="848"/>
      <c r="J370" s="848"/>
      <c r="K370" s="849">
        <f>(G370-F370)*D370*E370</f>
        <v>0</v>
      </c>
    </row>
    <row r="371" spans="1:12" x14ac:dyDescent="0.2">
      <c r="A371" s="1309"/>
      <c r="B371" s="884" t="s">
        <v>415</v>
      </c>
      <c r="C371" s="845" t="s">
        <v>413</v>
      </c>
      <c r="D371" s="845">
        <v>1</v>
      </c>
      <c r="E371" s="846">
        <v>1</v>
      </c>
      <c r="F371" s="847">
        <v>1840662</v>
      </c>
      <c r="G371" s="847">
        <v>1840662</v>
      </c>
      <c r="H371" s="848">
        <f t="shared" si="39"/>
        <v>0</v>
      </c>
      <c r="I371" s="848"/>
      <c r="J371" s="848"/>
      <c r="K371" s="849">
        <f>(G371-F371)*D371*E371</f>
        <v>0</v>
      </c>
    </row>
    <row r="372" spans="1:12" s="4" customFormat="1" x14ac:dyDescent="0.2">
      <c r="A372" s="1309"/>
      <c r="B372" s="71" t="s">
        <v>7</v>
      </c>
      <c r="C372" s="120"/>
      <c r="D372" s="120"/>
      <c r="E372" s="63"/>
      <c r="F372" s="190"/>
      <c r="G372" s="121"/>
      <c r="H372" s="66"/>
      <c r="I372" s="66"/>
      <c r="J372" s="66"/>
      <c r="K372" s="576">
        <f>K370+K371</f>
        <v>0</v>
      </c>
      <c r="L372" s="896"/>
    </row>
    <row r="373" spans="1:12" x14ac:dyDescent="0.2">
      <c r="A373" s="1309"/>
      <c r="B373" s="130" t="s">
        <v>401</v>
      </c>
      <c r="C373" s="54">
        <v>12568059</v>
      </c>
      <c r="D373" s="54">
        <v>960000</v>
      </c>
      <c r="E373" s="55">
        <v>1</v>
      </c>
      <c r="F373" s="524">
        <v>3310.6707999999999</v>
      </c>
      <c r="G373" s="524">
        <v>3310.9283249999999</v>
      </c>
      <c r="H373" s="131">
        <f t="shared" si="39"/>
        <v>0.2575249999999869</v>
      </c>
      <c r="I373" s="57"/>
      <c r="J373" s="57"/>
      <c r="K373" s="198">
        <f>(G373-F373)*D373</f>
        <v>247223.99999998743</v>
      </c>
    </row>
    <row r="374" spans="1:12" x14ac:dyDescent="0.2">
      <c r="A374" s="1309"/>
      <c r="B374" s="130" t="s">
        <v>402</v>
      </c>
      <c r="C374" s="54">
        <v>12568059</v>
      </c>
      <c r="D374" s="54">
        <v>960000</v>
      </c>
      <c r="E374" s="55">
        <v>1</v>
      </c>
      <c r="F374" s="524">
        <v>11.0197</v>
      </c>
      <c r="G374" s="524">
        <v>11.1244</v>
      </c>
      <c r="H374" s="372">
        <f t="shared" si="39"/>
        <v>0.10469999999999935</v>
      </c>
      <c r="I374" s="57"/>
      <c r="J374" s="57"/>
      <c r="K374" s="198">
        <f>(G374-F374)*D374*E374</f>
        <v>100511.99999999937</v>
      </c>
    </row>
    <row r="375" spans="1:12" x14ac:dyDescent="0.2">
      <c r="A375" s="1309"/>
      <c r="B375" s="223" t="s">
        <v>404</v>
      </c>
      <c r="C375" s="189"/>
      <c r="D375" s="189"/>
      <c r="E375" s="63"/>
      <c r="F375" s="190"/>
      <c r="G375" s="190"/>
      <c r="H375" s="66"/>
      <c r="I375" s="66"/>
      <c r="J375" s="66"/>
      <c r="K375" s="576">
        <f>K373-K374</f>
        <v>146711.99999998807</v>
      </c>
      <c r="L375" s="896">
        <v>10</v>
      </c>
    </row>
    <row r="376" spans="1:12" x14ac:dyDescent="0.2">
      <c r="A376" s="1309"/>
      <c r="B376" s="92" t="s">
        <v>579</v>
      </c>
      <c r="C376" s="54">
        <v>208176697</v>
      </c>
      <c r="D376" s="54">
        <v>1584000</v>
      </c>
      <c r="E376" s="55">
        <v>1</v>
      </c>
      <c r="F376" s="68">
        <v>1267.604</v>
      </c>
      <c r="G376" s="68">
        <v>1267.604</v>
      </c>
      <c r="H376" s="57">
        <f t="shared" si="39"/>
        <v>0</v>
      </c>
      <c r="I376" s="57"/>
      <c r="J376" s="57"/>
      <c r="K376" s="198">
        <f t="shared" ref="K376:K377" si="40">(G376-F376)*D376</f>
        <v>0</v>
      </c>
    </row>
    <row r="377" spans="1:12" x14ac:dyDescent="0.2">
      <c r="A377" s="1309"/>
      <c r="B377" s="92" t="s">
        <v>580</v>
      </c>
      <c r="C377" s="54">
        <v>208176697</v>
      </c>
      <c r="D377" s="54">
        <v>1584000</v>
      </c>
      <c r="E377" s="55">
        <v>1</v>
      </c>
      <c r="F377" s="68">
        <v>180.167</v>
      </c>
      <c r="G377" s="68">
        <v>180.167</v>
      </c>
      <c r="H377" s="57">
        <f t="shared" si="39"/>
        <v>0</v>
      </c>
      <c r="I377" s="57"/>
      <c r="J377" s="57"/>
      <c r="K377" s="198">
        <f t="shared" si="40"/>
        <v>0</v>
      </c>
    </row>
    <row r="378" spans="1:12" x14ac:dyDescent="0.2">
      <c r="A378" s="1309"/>
      <c r="B378" s="92" t="s">
        <v>699</v>
      </c>
      <c r="C378" s="54">
        <v>50500275</v>
      </c>
      <c r="D378" s="54">
        <v>334545.45449999999</v>
      </c>
      <c r="E378" s="55">
        <v>1</v>
      </c>
      <c r="F378" s="524">
        <v>17683.8197</v>
      </c>
      <c r="G378" s="524">
        <v>17972.591499999999</v>
      </c>
      <c r="H378" s="57">
        <f t="shared" si="39"/>
        <v>288.77179999999862</v>
      </c>
      <c r="I378" s="57"/>
      <c r="J378" s="57"/>
      <c r="K378" s="198">
        <f>(G378-F378)*D378</f>
        <v>96607293.077782631</v>
      </c>
    </row>
    <row r="379" spans="1:12" x14ac:dyDescent="0.2">
      <c r="A379" s="1309"/>
      <c r="B379" s="92" t="s">
        <v>700</v>
      </c>
      <c r="C379" s="54"/>
      <c r="D379" s="54">
        <v>334545.45449999999</v>
      </c>
      <c r="E379" s="55">
        <v>1</v>
      </c>
      <c r="F379" s="524">
        <v>20.1981</v>
      </c>
      <c r="G379" s="524">
        <v>20.1981</v>
      </c>
      <c r="H379" s="57">
        <f t="shared" si="39"/>
        <v>0</v>
      </c>
      <c r="I379" s="57"/>
      <c r="J379" s="57"/>
      <c r="K379" s="198">
        <f>(G379-F379)*D379</f>
        <v>0</v>
      </c>
    </row>
    <row r="380" spans="1:12" x14ac:dyDescent="0.2">
      <c r="A380" s="1309"/>
      <c r="B380" s="92" t="s">
        <v>701</v>
      </c>
      <c r="C380" s="54">
        <v>50500276</v>
      </c>
      <c r="D380" s="54">
        <v>250909.09090000001</v>
      </c>
      <c r="E380" s="55">
        <v>1</v>
      </c>
      <c r="F380" s="524">
        <v>10702.2801</v>
      </c>
      <c r="G380" s="524">
        <v>10878.955400000001</v>
      </c>
      <c r="H380" s="57">
        <f t="shared" si="39"/>
        <v>176.67530000000079</v>
      </c>
      <c r="I380" s="57"/>
      <c r="J380" s="57"/>
      <c r="K380" s="198">
        <f>(G380-F380)*D380</f>
        <v>44329438.907484971</v>
      </c>
    </row>
    <row r="381" spans="1:12" x14ac:dyDescent="0.2">
      <c r="A381" s="1309"/>
      <c r="B381" s="92" t="s">
        <v>702</v>
      </c>
      <c r="C381" s="54"/>
      <c r="D381" s="54">
        <v>250909.09090000001</v>
      </c>
      <c r="E381" s="55">
        <v>1</v>
      </c>
      <c r="F381" s="524">
        <v>80.402799999999999</v>
      </c>
      <c r="G381" s="524">
        <v>80.442499999999995</v>
      </c>
      <c r="H381" s="57">
        <f t="shared" si="39"/>
        <v>3.9699999999996294E-2</v>
      </c>
      <c r="I381" s="57"/>
      <c r="J381" s="57"/>
      <c r="K381" s="198">
        <f>(G381-F381)*D381</f>
        <v>9961.0909087290711</v>
      </c>
    </row>
    <row r="382" spans="1:12" x14ac:dyDescent="0.2">
      <c r="A382" s="1309"/>
      <c r="B382" s="92" t="s">
        <v>698</v>
      </c>
      <c r="C382" s="54">
        <v>50136682</v>
      </c>
      <c r="D382" s="54">
        <v>24000</v>
      </c>
      <c r="E382" s="55">
        <v>1</v>
      </c>
      <c r="F382" s="474">
        <v>1937.423</v>
      </c>
      <c r="G382" s="474">
        <v>1937.423</v>
      </c>
      <c r="H382" s="57">
        <f t="shared" si="39"/>
        <v>0</v>
      </c>
      <c r="I382" s="57"/>
      <c r="J382" s="57"/>
      <c r="K382" s="198">
        <f>(G382-F382)*D382*0</f>
        <v>0</v>
      </c>
    </row>
    <row r="383" spans="1:12" x14ac:dyDescent="0.2">
      <c r="A383" s="1309"/>
      <c r="B383" s="101" t="s">
        <v>408</v>
      </c>
      <c r="C383" s="54"/>
      <c r="D383" s="54"/>
      <c r="E383" s="55"/>
      <c r="F383" s="68"/>
      <c r="G383" s="68"/>
      <c r="H383" s="57"/>
      <c r="I383" s="57"/>
      <c r="J383" s="57"/>
      <c r="K383" s="202">
        <f>K378+K380</f>
        <v>140936731.98526761</v>
      </c>
    </row>
    <row r="384" spans="1:12" x14ac:dyDescent="0.2">
      <c r="A384" s="1309"/>
      <c r="B384" s="101" t="s">
        <v>409</v>
      </c>
      <c r="C384" s="54"/>
      <c r="D384" s="54"/>
      <c r="E384" s="55"/>
      <c r="F384" s="68"/>
      <c r="G384" s="68"/>
      <c r="H384" s="57"/>
      <c r="I384" s="57"/>
      <c r="J384" s="57"/>
      <c r="K384" s="202">
        <f>K379+K381+K382</f>
        <v>9961.0909087290711</v>
      </c>
    </row>
    <row r="385" spans="1:12" x14ac:dyDescent="0.2">
      <c r="A385" s="1309"/>
      <c r="B385" s="223" t="s">
        <v>1381</v>
      </c>
      <c r="C385" s="189"/>
      <c r="D385" s="189"/>
      <c r="E385" s="63"/>
      <c r="F385" s="190"/>
      <c r="G385" s="190"/>
      <c r="H385" s="66"/>
      <c r="I385" s="66"/>
      <c r="J385" s="66"/>
      <c r="K385" s="576">
        <f>K383-K384</f>
        <v>140926770.89435887</v>
      </c>
      <c r="L385" s="896">
        <v>11</v>
      </c>
    </row>
    <row r="386" spans="1:12" x14ac:dyDescent="0.2">
      <c r="A386" s="1309"/>
      <c r="B386" s="92" t="s">
        <v>666</v>
      </c>
      <c r="C386" s="54">
        <v>38992509</v>
      </c>
      <c r="D386" s="54">
        <v>135000</v>
      </c>
      <c r="E386" s="55">
        <v>1</v>
      </c>
      <c r="F386" s="524">
        <v>1859.0669</v>
      </c>
      <c r="G386" s="524">
        <v>1874.7711999999999</v>
      </c>
      <c r="H386" s="57">
        <f t="shared" ref="H386:H415" si="41">G386-F386</f>
        <v>15.704299999999876</v>
      </c>
      <c r="I386" s="57"/>
      <c r="J386" s="57"/>
      <c r="K386" s="198">
        <f t="shared" ref="K386:K393" si="42">(G386-F386)*D386</f>
        <v>2120080.4999999832</v>
      </c>
    </row>
    <row r="387" spans="1:12" x14ac:dyDescent="0.2">
      <c r="A387" s="1309"/>
      <c r="B387" s="92" t="s">
        <v>667</v>
      </c>
      <c r="C387" s="54">
        <v>38992509</v>
      </c>
      <c r="D387" s="54">
        <v>135000</v>
      </c>
      <c r="E387" s="55">
        <v>1</v>
      </c>
      <c r="F387" s="524">
        <v>7.1140999999999996</v>
      </c>
      <c r="G387" s="524">
        <v>7.1872999999999996</v>
      </c>
      <c r="H387" s="372">
        <f t="shared" si="41"/>
        <v>7.3199999999999932E-2</v>
      </c>
      <c r="I387" s="57"/>
      <c r="J387" s="57"/>
      <c r="K387" s="198">
        <f t="shared" si="42"/>
        <v>9881.9999999999909</v>
      </c>
    </row>
    <row r="388" spans="1:12" x14ac:dyDescent="0.2">
      <c r="A388" s="1309"/>
      <c r="B388" s="223" t="s">
        <v>1573</v>
      </c>
      <c r="C388" s="189"/>
      <c r="D388" s="189"/>
      <c r="E388" s="63"/>
      <c r="F388" s="190"/>
      <c r="G388" s="190"/>
      <c r="H388" s="66"/>
      <c r="I388" s="66"/>
      <c r="J388" s="66"/>
      <c r="K388" s="576">
        <f>K386-K387</f>
        <v>2110198.4999999832</v>
      </c>
      <c r="L388" s="896">
        <v>12</v>
      </c>
    </row>
    <row r="389" spans="1:12" x14ac:dyDescent="0.2">
      <c r="A389" s="1309"/>
      <c r="B389" s="92" t="s">
        <v>682</v>
      </c>
      <c r="C389" s="54">
        <v>42877838</v>
      </c>
      <c r="D389" s="54">
        <v>960000</v>
      </c>
      <c r="E389" s="55">
        <v>1</v>
      </c>
      <c r="F389" s="524">
        <v>2755.2641100000001</v>
      </c>
      <c r="G389" s="524">
        <v>2786.33205</v>
      </c>
      <c r="H389" s="57">
        <f t="shared" si="41"/>
        <v>31.067939999999908</v>
      </c>
      <c r="I389" s="57"/>
      <c r="J389" s="57"/>
      <c r="K389" s="198">
        <f t="shared" si="42"/>
        <v>29825222.399999913</v>
      </c>
    </row>
    <row r="390" spans="1:12" x14ac:dyDescent="0.2">
      <c r="A390" s="1309"/>
      <c r="B390" s="92" t="s">
        <v>683</v>
      </c>
      <c r="C390" s="54">
        <v>42877838</v>
      </c>
      <c r="D390" s="54">
        <v>960000</v>
      </c>
      <c r="E390" s="55">
        <v>1</v>
      </c>
      <c r="F390" s="524">
        <v>5.6751300000000002</v>
      </c>
      <c r="G390" s="524">
        <v>5.7829100000000002</v>
      </c>
      <c r="H390" s="57">
        <f t="shared" si="41"/>
        <v>0.10777999999999999</v>
      </c>
      <c r="I390" s="57"/>
      <c r="J390" s="57"/>
      <c r="K390" s="198">
        <f t="shared" si="42"/>
        <v>103468.79999999999</v>
      </c>
    </row>
    <row r="391" spans="1:12" x14ac:dyDescent="0.2">
      <c r="A391" s="1309"/>
      <c r="B391" s="223" t="s">
        <v>684</v>
      </c>
      <c r="C391" s="189"/>
      <c r="D391" s="189"/>
      <c r="E391" s="63"/>
      <c r="F391" s="190"/>
      <c r="G391" s="190"/>
      <c r="H391" s="190"/>
      <c r="I391" s="66"/>
      <c r="J391" s="66"/>
      <c r="K391" s="576">
        <f>K389-K390</f>
        <v>29721753.599999912</v>
      </c>
      <c r="L391" s="896">
        <v>13</v>
      </c>
    </row>
    <row r="392" spans="1:12" x14ac:dyDescent="0.2">
      <c r="A392" s="1309"/>
      <c r="B392" s="92" t="s">
        <v>1189</v>
      </c>
      <c r="C392" s="78">
        <v>38992460</v>
      </c>
      <c r="D392" s="78">
        <v>960000</v>
      </c>
      <c r="E392" s="79">
        <v>1</v>
      </c>
      <c r="F392" s="1235">
        <v>2106.9081999999999</v>
      </c>
      <c r="G392" s="1235">
        <v>2131.6525999999999</v>
      </c>
      <c r="H392" s="57">
        <f t="shared" si="41"/>
        <v>24.744400000000041</v>
      </c>
      <c r="I392" s="57"/>
      <c r="J392" s="57"/>
      <c r="K392" s="612">
        <f t="shared" si="42"/>
        <v>23754624.000000041</v>
      </c>
    </row>
    <row r="393" spans="1:12" x14ac:dyDescent="0.2">
      <c r="A393" s="1309"/>
      <c r="B393" s="92" t="s">
        <v>1190</v>
      </c>
      <c r="C393" s="78">
        <v>38992460</v>
      </c>
      <c r="D393" s="78">
        <v>960000</v>
      </c>
      <c r="E393" s="79">
        <v>1</v>
      </c>
      <c r="F393" s="1235">
        <v>3.6484999999999999</v>
      </c>
      <c r="G393" s="1235">
        <v>3.7786</v>
      </c>
      <c r="H393" s="68">
        <f t="shared" si="41"/>
        <v>0.1301000000000001</v>
      </c>
      <c r="I393" s="57"/>
      <c r="J393" s="57"/>
      <c r="K393" s="612">
        <f t="shared" si="42"/>
        <v>124896.0000000001</v>
      </c>
    </row>
    <row r="394" spans="1:12" x14ac:dyDescent="0.2">
      <c r="A394" s="1309"/>
      <c r="B394" s="223" t="s">
        <v>684</v>
      </c>
      <c r="C394" s="189"/>
      <c r="D394" s="189"/>
      <c r="E394" s="63"/>
      <c r="F394" s="190"/>
      <c r="G394" s="190"/>
      <c r="H394" s="190"/>
      <c r="I394" s="66"/>
      <c r="J394" s="66"/>
      <c r="K394" s="576">
        <f>K392-K393</f>
        <v>23629728.000000041</v>
      </c>
      <c r="L394" s="896">
        <v>14</v>
      </c>
    </row>
    <row r="395" spans="1:12" x14ac:dyDescent="0.2">
      <c r="A395" s="1309"/>
      <c r="B395" s="495" t="s">
        <v>727</v>
      </c>
      <c r="C395" s="493">
        <v>218131979</v>
      </c>
      <c r="D395" s="493">
        <v>836363.63</v>
      </c>
      <c r="E395" s="422">
        <v>1</v>
      </c>
      <c r="F395" s="524">
        <v>2094.89534</v>
      </c>
      <c r="G395" s="524">
        <v>2111.3460799999998</v>
      </c>
      <c r="H395" s="57">
        <f t="shared" si="41"/>
        <v>16.450739999999769</v>
      </c>
      <c r="I395" s="424"/>
      <c r="J395" s="424"/>
      <c r="K395" s="465">
        <f>H395*E395*D395</f>
        <v>13758800.622586006</v>
      </c>
    </row>
    <row r="396" spans="1:12" x14ac:dyDescent="0.2">
      <c r="A396" s="1309"/>
      <c r="B396" s="495" t="s">
        <v>728</v>
      </c>
      <c r="C396" s="493">
        <v>218131979</v>
      </c>
      <c r="D396" s="493">
        <v>836363.63</v>
      </c>
      <c r="E396" s="422">
        <v>1</v>
      </c>
      <c r="F396" s="524">
        <v>5.7837100000000001</v>
      </c>
      <c r="G396" s="524">
        <v>5.8992599999999999</v>
      </c>
      <c r="H396" s="57">
        <f t="shared" si="41"/>
        <v>0.11554999999999982</v>
      </c>
      <c r="I396" s="424"/>
      <c r="J396" s="424"/>
      <c r="K396" s="465">
        <f>H396*E396*D396</f>
        <v>96641.817446499845</v>
      </c>
    </row>
    <row r="397" spans="1:12" x14ac:dyDescent="0.2">
      <c r="A397" s="1309"/>
      <c r="B397" s="223" t="s">
        <v>729</v>
      </c>
      <c r="C397" s="189"/>
      <c r="D397" s="189"/>
      <c r="E397" s="63"/>
      <c r="F397" s="190"/>
      <c r="G397" s="190"/>
      <c r="H397" s="190"/>
      <c r="I397" s="66"/>
      <c r="J397" s="66"/>
      <c r="K397" s="576">
        <f>K395-K396</f>
        <v>13662158.805139506</v>
      </c>
      <c r="L397" s="896">
        <v>15</v>
      </c>
    </row>
    <row r="398" spans="1:12" x14ac:dyDescent="0.2">
      <c r="A398" s="1309"/>
      <c r="B398" s="495" t="s">
        <v>730</v>
      </c>
      <c r="C398" s="401">
        <v>18464980</v>
      </c>
      <c r="D398" s="401">
        <v>12000</v>
      </c>
      <c r="E398" s="402">
        <v>1</v>
      </c>
      <c r="F398" s="521">
        <v>4474.6756999999998</v>
      </c>
      <c r="G398" s="521">
        <v>4524.5079999999998</v>
      </c>
      <c r="H398" s="57">
        <f t="shared" si="41"/>
        <v>49.832300000000032</v>
      </c>
      <c r="I398" s="424"/>
      <c r="J398" s="424"/>
      <c r="K398" s="465">
        <f>D398*E398*H398</f>
        <v>597987.60000000033</v>
      </c>
    </row>
    <row r="399" spans="1:12" x14ac:dyDescent="0.2">
      <c r="A399" s="1309"/>
      <c r="B399" s="495" t="s">
        <v>731</v>
      </c>
      <c r="C399" s="401">
        <v>18464980</v>
      </c>
      <c r="D399" s="401">
        <v>12000</v>
      </c>
      <c r="E399" s="402">
        <v>1</v>
      </c>
      <c r="F399" s="521">
        <v>32.573099999999997</v>
      </c>
      <c r="G399" s="521">
        <v>32.956400000000002</v>
      </c>
      <c r="H399" s="57">
        <f t="shared" si="41"/>
        <v>0.38330000000000553</v>
      </c>
      <c r="I399" s="424"/>
      <c r="J399" s="424"/>
      <c r="K399" s="465">
        <f>D399*E399*H399</f>
        <v>4599.6000000000658</v>
      </c>
    </row>
    <row r="400" spans="1:12" x14ac:dyDescent="0.2">
      <c r="A400" s="1309"/>
      <c r="B400" s="223" t="s">
        <v>732</v>
      </c>
      <c r="C400" s="189"/>
      <c r="D400" s="189"/>
      <c r="E400" s="63"/>
      <c r="F400" s="190"/>
      <c r="G400" s="190"/>
      <c r="H400" s="66"/>
      <c r="I400" s="66"/>
      <c r="J400" s="66"/>
      <c r="K400" s="576">
        <f>K398-K399</f>
        <v>593388.00000000023</v>
      </c>
      <c r="L400" s="896">
        <v>16</v>
      </c>
    </row>
    <row r="401" spans="1:12" x14ac:dyDescent="0.2">
      <c r="A401" s="1309"/>
      <c r="B401" s="495" t="s">
        <v>733</v>
      </c>
      <c r="C401" s="493">
        <v>38992619</v>
      </c>
      <c r="D401" s="493">
        <v>2509090.909</v>
      </c>
      <c r="E401" s="422">
        <v>1</v>
      </c>
      <c r="F401" s="529">
        <v>1342.1242</v>
      </c>
      <c r="G401" s="529">
        <v>1343.6967</v>
      </c>
      <c r="H401" s="57">
        <f>G401-F401</f>
        <v>1.5724999999999909</v>
      </c>
      <c r="I401" s="424"/>
      <c r="J401" s="424"/>
      <c r="K401" s="465">
        <f>H401*E401*D401</f>
        <v>3945545.454402477</v>
      </c>
    </row>
    <row r="402" spans="1:12" x14ac:dyDescent="0.2">
      <c r="A402" s="1309"/>
      <c r="B402" s="495" t="s">
        <v>734</v>
      </c>
      <c r="C402" s="493">
        <v>38992619</v>
      </c>
      <c r="D402" s="493">
        <v>2509090.909</v>
      </c>
      <c r="E402" s="422">
        <v>1</v>
      </c>
      <c r="F402" s="529">
        <v>1.9891000000000001</v>
      </c>
      <c r="G402" s="529">
        <v>2.0800999999999998</v>
      </c>
      <c r="H402" s="57">
        <f>G402-F402</f>
        <v>9.0999999999999748E-2</v>
      </c>
      <c r="I402" s="424"/>
      <c r="J402" s="424"/>
      <c r="K402" s="465">
        <f>H402*E402*D402</f>
        <v>228327.27271899936</v>
      </c>
    </row>
    <row r="403" spans="1:12" x14ac:dyDescent="0.2">
      <c r="A403" s="1309"/>
      <c r="B403" s="223" t="s">
        <v>735</v>
      </c>
      <c r="C403" s="189"/>
      <c r="D403" s="189"/>
      <c r="E403" s="63"/>
      <c r="F403" s="190"/>
      <c r="G403" s="190"/>
      <c r="H403" s="66"/>
      <c r="I403" s="66"/>
      <c r="J403" s="66"/>
      <c r="K403" s="576">
        <f>K401-K402</f>
        <v>3717218.1816834775</v>
      </c>
      <c r="L403" s="896">
        <v>17</v>
      </c>
    </row>
    <row r="404" spans="1:12" x14ac:dyDescent="0.2">
      <c r="A404" s="1309"/>
      <c r="B404" s="92" t="s">
        <v>1318</v>
      </c>
      <c r="C404" s="54">
        <v>38992621</v>
      </c>
      <c r="D404" s="54">
        <v>2509090.909</v>
      </c>
      <c r="E404" s="55">
        <v>1</v>
      </c>
      <c r="F404" s="524">
        <v>868.38499999999999</v>
      </c>
      <c r="G404" s="524">
        <v>869.96280000000002</v>
      </c>
      <c r="H404" s="57">
        <f>G404-F404</f>
        <v>1.5778000000000247</v>
      </c>
      <c r="I404" s="57"/>
      <c r="J404" s="57"/>
      <c r="K404" s="612">
        <f>H404*E404*D404</f>
        <v>3958843.6362202619</v>
      </c>
    </row>
    <row r="405" spans="1:12" x14ac:dyDescent="0.2">
      <c r="A405" s="1309"/>
      <c r="B405" s="92" t="s">
        <v>1319</v>
      </c>
      <c r="C405" s="54">
        <v>38992621</v>
      </c>
      <c r="D405" s="54">
        <v>2509090.909</v>
      </c>
      <c r="E405" s="55">
        <v>1</v>
      </c>
      <c r="F405" s="524">
        <v>0.70760000000000001</v>
      </c>
      <c r="G405" s="524">
        <v>0.78939999999999999</v>
      </c>
      <c r="H405" s="57">
        <f>G405-F405</f>
        <v>8.1799999999999984E-2</v>
      </c>
      <c r="I405" s="57"/>
      <c r="J405" s="57"/>
      <c r="K405" s="612">
        <f>H405*E405*D405</f>
        <v>205243.63635619995</v>
      </c>
    </row>
    <row r="406" spans="1:12" x14ac:dyDescent="0.2">
      <c r="A406" s="1309"/>
      <c r="B406" s="223" t="s">
        <v>1320</v>
      </c>
      <c r="C406" s="189"/>
      <c r="D406" s="189"/>
      <c r="E406" s="63"/>
      <c r="F406" s="190"/>
      <c r="G406" s="190"/>
      <c r="H406" s="66"/>
      <c r="I406" s="66"/>
      <c r="J406" s="66"/>
      <c r="K406" s="576">
        <f>K404-K405</f>
        <v>3753599.9998640618</v>
      </c>
      <c r="L406" s="896">
        <v>18</v>
      </c>
    </row>
    <row r="407" spans="1:12" x14ac:dyDescent="0.2">
      <c r="A407" s="1309"/>
      <c r="B407" s="495" t="s">
        <v>811</v>
      </c>
      <c r="C407" s="493">
        <v>42334972</v>
      </c>
      <c r="D407" s="493">
        <v>418181.81</v>
      </c>
      <c r="E407" s="422">
        <v>1</v>
      </c>
      <c r="F407" s="524">
        <v>2563.4229099999998</v>
      </c>
      <c r="G407" s="524">
        <v>2564.6376500000001</v>
      </c>
      <c r="H407" s="424">
        <f t="shared" si="41"/>
        <v>1.2147400000003472</v>
      </c>
      <c r="I407" s="424"/>
      <c r="J407" s="424"/>
      <c r="K407" s="465">
        <f>(G407-F407)*D407</f>
        <v>507982.1718795452</v>
      </c>
    </row>
    <row r="408" spans="1:12" x14ac:dyDescent="0.2">
      <c r="A408" s="1309"/>
      <c r="B408" s="495" t="s">
        <v>812</v>
      </c>
      <c r="C408" s="493">
        <v>42334972</v>
      </c>
      <c r="D408" s="493">
        <v>418181.81</v>
      </c>
      <c r="E408" s="422">
        <v>1</v>
      </c>
      <c r="F408" s="524">
        <v>8.9855800000000006</v>
      </c>
      <c r="G408" s="524">
        <v>9.2714800000000004</v>
      </c>
      <c r="H408" s="424">
        <f t="shared" si="41"/>
        <v>0.28589999999999982</v>
      </c>
      <c r="I408" s="424"/>
      <c r="J408" s="424"/>
      <c r="K408" s="465">
        <f>(G408-F408)*D408</f>
        <v>119558.17947899993</v>
      </c>
    </row>
    <row r="409" spans="1:12" x14ac:dyDescent="0.2">
      <c r="A409" s="1309"/>
      <c r="B409" s="223" t="s">
        <v>813</v>
      </c>
      <c r="C409" s="189"/>
      <c r="D409" s="189"/>
      <c r="E409" s="63"/>
      <c r="F409" s="190"/>
      <c r="G409" s="190"/>
      <c r="H409" s="66"/>
      <c r="I409" s="66"/>
      <c r="J409" s="66"/>
      <c r="K409" s="576">
        <f>K407-K408</f>
        <v>388423.99240054528</v>
      </c>
      <c r="L409" s="896">
        <v>19</v>
      </c>
    </row>
    <row r="410" spans="1:12" x14ac:dyDescent="0.2">
      <c r="A410" s="1309"/>
      <c r="B410" s="495" t="s">
        <v>814</v>
      </c>
      <c r="C410" s="493">
        <v>218257747</v>
      </c>
      <c r="D410" s="493">
        <v>836363.63</v>
      </c>
      <c r="E410" s="422">
        <v>1</v>
      </c>
      <c r="F410" s="524">
        <v>2230.6012500000002</v>
      </c>
      <c r="G410" s="524">
        <v>2239.5496199999998</v>
      </c>
      <c r="H410" s="424">
        <f t="shared" si="41"/>
        <v>8.9483699999996134</v>
      </c>
      <c r="I410" s="424"/>
      <c r="J410" s="424"/>
      <c r="K410" s="465">
        <f>(G410-F410)*D410</f>
        <v>7484091.2157827765</v>
      </c>
    </row>
    <row r="411" spans="1:12" x14ac:dyDescent="0.2">
      <c r="A411" s="1309"/>
      <c r="B411" s="495" t="s">
        <v>815</v>
      </c>
      <c r="C411" s="493">
        <v>218257747</v>
      </c>
      <c r="D411" s="493">
        <v>836363.63</v>
      </c>
      <c r="E411" s="422">
        <v>1</v>
      </c>
      <c r="F411" s="524">
        <v>5.2965299999999997</v>
      </c>
      <c r="G411" s="524">
        <v>5.4418100000000003</v>
      </c>
      <c r="H411" s="424">
        <f t="shared" si="41"/>
        <v>0.14528000000000052</v>
      </c>
      <c r="I411" s="424"/>
      <c r="J411" s="424"/>
      <c r="K411" s="465">
        <f>(G411-F411)*D411</f>
        <v>121506.90816640043</v>
      </c>
    </row>
    <row r="412" spans="1:12" s="483" customFormat="1" x14ac:dyDescent="0.2">
      <c r="A412" s="1309"/>
      <c r="B412" s="223" t="s">
        <v>816</v>
      </c>
      <c r="C412" s="189"/>
      <c r="D412" s="189"/>
      <c r="E412" s="63"/>
      <c r="F412" s="190"/>
      <c r="G412" s="190"/>
      <c r="H412" s="66"/>
      <c r="I412" s="66"/>
      <c r="J412" s="66"/>
      <c r="K412" s="576">
        <f>K410-K411</f>
        <v>7362584.3076163763</v>
      </c>
      <c r="L412" s="896">
        <v>20</v>
      </c>
    </row>
    <row r="413" spans="1:12" x14ac:dyDescent="0.2">
      <c r="A413" s="1309"/>
      <c r="B413" s="223" t="s">
        <v>1307</v>
      </c>
      <c r="C413" s="189">
        <v>50500322</v>
      </c>
      <c r="D413" s="189">
        <v>24000</v>
      </c>
      <c r="E413" s="63">
        <v>1</v>
      </c>
      <c r="F413" s="190">
        <v>1258.7439999999999</v>
      </c>
      <c r="G413" s="190">
        <v>1290.6959999999999</v>
      </c>
      <c r="H413" s="66">
        <f t="shared" si="41"/>
        <v>31.951999999999998</v>
      </c>
      <c r="I413" s="66"/>
      <c r="J413" s="66"/>
      <c r="K413" s="576">
        <f>H413*E413*D413</f>
        <v>766848</v>
      </c>
      <c r="L413" s="749">
        <v>21</v>
      </c>
    </row>
    <row r="414" spans="1:12" x14ac:dyDescent="0.2">
      <c r="A414" s="1309"/>
      <c r="B414" s="92" t="s">
        <v>1477</v>
      </c>
      <c r="C414" s="54">
        <v>59520960</v>
      </c>
      <c r="D414" s="54">
        <v>5454545.4545</v>
      </c>
      <c r="E414" s="55">
        <v>1</v>
      </c>
      <c r="F414" s="524">
        <v>874.42514000000006</v>
      </c>
      <c r="G414" s="524">
        <v>939.28443000000004</v>
      </c>
      <c r="H414" s="57">
        <f t="shared" si="41"/>
        <v>64.859289999999987</v>
      </c>
      <c r="I414" s="57"/>
      <c r="J414" s="57"/>
      <c r="K414" s="612">
        <f>H414*E414*D414</f>
        <v>353777945.45159721</v>
      </c>
    </row>
    <row r="415" spans="1:12" x14ac:dyDescent="0.2">
      <c r="A415" s="1309"/>
      <c r="B415" s="92" t="s">
        <v>1478</v>
      </c>
      <c r="C415" s="54">
        <v>59520960</v>
      </c>
      <c r="D415" s="54">
        <v>5454545.4545</v>
      </c>
      <c r="E415" s="55">
        <v>1</v>
      </c>
      <c r="F415" s="524">
        <v>8.4397099999999998</v>
      </c>
      <c r="G415" s="524">
        <v>8.4397099999999998</v>
      </c>
      <c r="H415" s="57">
        <f t="shared" si="41"/>
        <v>0</v>
      </c>
      <c r="I415" s="57"/>
      <c r="J415" s="57"/>
      <c r="K415" s="612">
        <f>H415*E415*D415</f>
        <v>0</v>
      </c>
    </row>
    <row r="416" spans="1:12" x14ac:dyDescent="0.2">
      <c r="A416" s="1309"/>
      <c r="B416" s="223" t="s">
        <v>1481</v>
      </c>
      <c r="C416" s="189"/>
      <c r="D416" s="189"/>
      <c r="E416" s="63"/>
      <c r="F416" s="190"/>
      <c r="G416" s="190"/>
      <c r="H416" s="66"/>
      <c r="I416" s="66"/>
      <c r="J416" s="66"/>
      <c r="K416" s="576">
        <f>K414-K415</f>
        <v>353777945.45159721</v>
      </c>
      <c r="L416" s="749">
        <v>22</v>
      </c>
    </row>
    <row r="417" spans="1:14" x14ac:dyDescent="0.2">
      <c r="A417" s="1309"/>
      <c r="B417" s="92" t="s">
        <v>1479</v>
      </c>
      <c r="C417" s="54">
        <v>59520962</v>
      </c>
      <c r="D417" s="54">
        <v>5454545.4545</v>
      </c>
      <c r="E417" s="55">
        <v>1</v>
      </c>
      <c r="F417" s="524">
        <v>687.32802000000004</v>
      </c>
      <c r="G417" s="524">
        <v>751.39314000000002</v>
      </c>
      <c r="H417" s="57">
        <f t="shared" ref="H417:H427" si="43">G417-F417</f>
        <v>64.065119999999979</v>
      </c>
      <c r="I417" s="57"/>
      <c r="J417" s="57"/>
      <c r="K417" s="612">
        <f>H417*E417*D417</f>
        <v>349446109.0879969</v>
      </c>
    </row>
    <row r="418" spans="1:14" x14ac:dyDescent="0.2">
      <c r="A418" s="1309"/>
      <c r="B418" s="92" t="s">
        <v>1480</v>
      </c>
      <c r="C418" s="54">
        <v>59520962</v>
      </c>
      <c r="D418" s="54">
        <v>5454545.4545</v>
      </c>
      <c r="E418" s="55">
        <v>1</v>
      </c>
      <c r="F418" s="524">
        <v>10.27014</v>
      </c>
      <c r="G418" s="524">
        <v>10.27014</v>
      </c>
      <c r="H418" s="57">
        <f t="shared" si="43"/>
        <v>0</v>
      </c>
      <c r="I418" s="57"/>
      <c r="J418" s="57"/>
      <c r="K418" s="612">
        <f>H418*E418*D418</f>
        <v>0</v>
      </c>
    </row>
    <row r="419" spans="1:14" x14ac:dyDescent="0.2">
      <c r="A419" s="1309"/>
      <c r="B419" s="223" t="s">
        <v>1482</v>
      </c>
      <c r="C419" s="189"/>
      <c r="D419" s="189"/>
      <c r="E419" s="63"/>
      <c r="F419" s="190"/>
      <c r="G419" s="190"/>
      <c r="H419" s="66"/>
      <c r="I419" s="66"/>
      <c r="J419" s="66"/>
      <c r="K419" s="576">
        <f>K417-K418</f>
        <v>349446109.0879969</v>
      </c>
      <c r="L419" s="749">
        <v>23</v>
      </c>
    </row>
    <row r="420" spans="1:14" x14ac:dyDescent="0.2">
      <c r="A420" s="1309"/>
      <c r="B420" s="92" t="s">
        <v>1494</v>
      </c>
      <c r="C420" s="54" t="s">
        <v>1497</v>
      </c>
      <c r="D420" s="54">
        <v>7272727.273</v>
      </c>
      <c r="E420" s="55">
        <v>1</v>
      </c>
      <c r="F420" s="524">
        <v>483.92422310000001</v>
      </c>
      <c r="G420" s="524">
        <v>492.73447570000002</v>
      </c>
      <c r="H420" s="57">
        <f t="shared" si="43"/>
        <v>8.8102526000000125</v>
      </c>
      <c r="I420" s="57"/>
      <c r="J420" s="57"/>
      <c r="K420" s="612">
        <f>H420*E420*D420</f>
        <v>64074564.366039254</v>
      </c>
    </row>
    <row r="421" spans="1:14" x14ac:dyDescent="0.2">
      <c r="A421" s="1309"/>
      <c r="B421" s="92" t="s">
        <v>1495</v>
      </c>
      <c r="C421" s="54" t="s">
        <v>1497</v>
      </c>
      <c r="D421" s="54">
        <v>7272727.273</v>
      </c>
      <c r="E421" s="55">
        <v>1</v>
      </c>
      <c r="F421" s="524">
        <v>7.045623011</v>
      </c>
      <c r="G421" s="524">
        <v>7.2910036829999996</v>
      </c>
      <c r="H421" s="57">
        <f t="shared" si="43"/>
        <v>0.24538067199999958</v>
      </c>
      <c r="I421" s="57"/>
      <c r="J421" s="57"/>
      <c r="K421" s="612">
        <f>H421*E421*D421</f>
        <v>1784586.7055214643</v>
      </c>
    </row>
    <row r="422" spans="1:14" x14ac:dyDescent="0.2">
      <c r="A422" s="1309"/>
      <c r="B422" s="223" t="s">
        <v>1496</v>
      </c>
      <c r="C422" s="189"/>
      <c r="D422" s="189"/>
      <c r="E422" s="63"/>
      <c r="F422" s="190"/>
      <c r="G422" s="190"/>
      <c r="H422" s="66"/>
      <c r="I422" s="66"/>
      <c r="J422" s="66"/>
      <c r="K422" s="576">
        <f>K420-K421</f>
        <v>62289977.660517789</v>
      </c>
      <c r="L422" s="749">
        <v>24</v>
      </c>
    </row>
    <row r="423" spans="1:14" x14ac:dyDescent="0.2">
      <c r="A423" s="1309"/>
      <c r="B423" s="92" t="s">
        <v>1518</v>
      </c>
      <c r="C423" s="54" t="s">
        <v>1519</v>
      </c>
      <c r="D423" s="54">
        <v>7272727.273</v>
      </c>
      <c r="E423" s="55">
        <v>1</v>
      </c>
      <c r="F423" s="68">
        <v>409.0654212</v>
      </c>
      <c r="G423" s="68">
        <v>417.57153</v>
      </c>
      <c r="H423" s="131">
        <f t="shared" si="43"/>
        <v>8.5061087999999927</v>
      </c>
      <c r="I423" s="57"/>
      <c r="J423" s="57"/>
      <c r="K423" s="612">
        <f>H423*E423*D423</f>
        <v>61862609.456865251</v>
      </c>
    </row>
    <row r="424" spans="1:14" x14ac:dyDescent="0.2">
      <c r="A424" s="1309"/>
      <c r="B424" s="92" t="s">
        <v>1520</v>
      </c>
      <c r="C424" s="54" t="s">
        <v>1519</v>
      </c>
      <c r="D424" s="54">
        <v>7272727.273</v>
      </c>
      <c r="E424" s="55">
        <v>1</v>
      </c>
      <c r="F424" s="68">
        <v>6.3993729080000001</v>
      </c>
      <c r="G424" s="68">
        <v>6.6498482729999999</v>
      </c>
      <c r="H424" s="131">
        <f t="shared" si="43"/>
        <v>0.25047536499999978</v>
      </c>
      <c r="I424" s="57"/>
      <c r="J424" s="57"/>
      <c r="K424" s="612">
        <f>H424*E424*D424</f>
        <v>1821639.018250128</v>
      </c>
      <c r="N424" s="2">
        <v>769248.38548339158</v>
      </c>
    </row>
    <row r="425" spans="1:14" x14ac:dyDescent="0.2">
      <c r="A425" s="1309"/>
      <c r="B425" s="223" t="s">
        <v>1521</v>
      </c>
      <c r="C425" s="189"/>
      <c r="D425" s="189"/>
      <c r="E425" s="63"/>
      <c r="F425" s="190"/>
      <c r="G425" s="190"/>
      <c r="H425" s="66"/>
      <c r="I425" s="66"/>
      <c r="J425" s="66"/>
      <c r="K425" s="576">
        <f>K423-K424</f>
        <v>60040970.438615121</v>
      </c>
      <c r="L425" s="749">
        <v>25</v>
      </c>
    </row>
    <row r="426" spans="1:14" x14ac:dyDescent="0.2">
      <c r="A426" s="1309"/>
      <c r="B426" s="92" t="s">
        <v>1515</v>
      </c>
      <c r="C426" s="54">
        <v>59728027</v>
      </c>
      <c r="D426" s="54">
        <v>480000</v>
      </c>
      <c r="E426" s="55">
        <v>1</v>
      </c>
      <c r="F426" s="68">
        <v>328.34593999999998</v>
      </c>
      <c r="G426" s="68">
        <v>357.56304999999998</v>
      </c>
      <c r="H426" s="57">
        <f t="shared" si="43"/>
        <v>29.217109999999991</v>
      </c>
      <c r="I426" s="57"/>
      <c r="J426" s="57"/>
      <c r="K426" s="612">
        <f>H426*E426*D426</f>
        <v>14024212.799999995</v>
      </c>
    </row>
    <row r="427" spans="1:14" x14ac:dyDescent="0.2">
      <c r="A427" s="1309"/>
      <c r="B427" s="92" t="s">
        <v>1516</v>
      </c>
      <c r="C427" s="54">
        <v>59728027</v>
      </c>
      <c r="D427" s="54">
        <v>480000</v>
      </c>
      <c r="E427" s="55">
        <v>1</v>
      </c>
      <c r="F427" s="68">
        <v>3.7437999999999998</v>
      </c>
      <c r="G427" s="68">
        <v>3.8437100000000002</v>
      </c>
      <c r="H427" s="57">
        <f t="shared" si="43"/>
        <v>9.9910000000000387E-2</v>
      </c>
      <c r="I427" s="57"/>
      <c r="J427" s="57"/>
      <c r="K427" s="612">
        <f>H427*E427*D427</f>
        <v>47956.800000000185</v>
      </c>
    </row>
    <row r="428" spans="1:14" x14ac:dyDescent="0.2">
      <c r="A428" s="1309"/>
      <c r="B428" s="223" t="s">
        <v>1517</v>
      </c>
      <c r="C428" s="189"/>
      <c r="D428" s="189"/>
      <c r="E428" s="63"/>
      <c r="F428" s="190"/>
      <c r="G428" s="190"/>
      <c r="H428" s="66"/>
      <c r="I428" s="66"/>
      <c r="J428" s="66"/>
      <c r="K428" s="576">
        <f>K426-K427</f>
        <v>13976255.999999994</v>
      </c>
      <c r="L428" s="749">
        <v>26</v>
      </c>
    </row>
    <row r="429" spans="1:14" x14ac:dyDescent="0.2">
      <c r="A429" s="1310"/>
      <c r="B429" s="113" t="s">
        <v>130</v>
      </c>
      <c r="C429" s="132"/>
      <c r="D429" s="132"/>
      <c r="E429" s="115"/>
      <c r="F429" s="133"/>
      <c r="G429" s="133"/>
      <c r="H429" s="118"/>
      <c r="I429" s="118"/>
      <c r="J429" s="118"/>
      <c r="K429" s="203">
        <f>K413+K333+K403+K412+K409+K400+K397+K394+K391+K388+K385+K375+K372+K369+K360+K357+K308+K305+K298+K289+K351+K345+K342+K339+K330+K317+K406+K354+K416+K419+K422+K428+K425</f>
        <v>1244140920.2698298</v>
      </c>
      <c r="L429" s="228">
        <f>K429-Diff!C8</f>
        <v>1221581310.0917668</v>
      </c>
      <c r="M429" s="6">
        <f>K429-L429</f>
        <v>22559610.178062916</v>
      </c>
    </row>
    <row r="430" spans="1:14" ht="12.75" customHeight="1" x14ac:dyDescent="0.2">
      <c r="A430" s="1308" t="s">
        <v>3</v>
      </c>
      <c r="B430" s="100" t="s">
        <v>131</v>
      </c>
      <c r="C430" s="43">
        <v>6769310</v>
      </c>
      <c r="D430" s="43">
        <v>480000</v>
      </c>
      <c r="E430" s="44">
        <v>1</v>
      </c>
      <c r="F430" s="80">
        <v>3060.3139999999999</v>
      </c>
      <c r="G430" s="80">
        <v>3060.3139999999999</v>
      </c>
      <c r="H430" s="46">
        <f t="shared" ref="H430:H449" si="44">G430-F430</f>
        <v>0</v>
      </c>
      <c r="I430" s="46"/>
      <c r="J430" s="46"/>
      <c r="K430" s="194">
        <f t="shared" ref="K430:K438" si="45">(G430-F430)*D430*E430</f>
        <v>0</v>
      </c>
    </row>
    <row r="431" spans="1:14" x14ac:dyDescent="0.2">
      <c r="A431" s="1309"/>
      <c r="B431" s="367" t="s">
        <v>554</v>
      </c>
      <c r="C431" s="43">
        <v>50146651</v>
      </c>
      <c r="D431" s="43">
        <v>480000</v>
      </c>
      <c r="E431" s="44">
        <v>1</v>
      </c>
      <c r="F431" s="80">
        <v>205.18520000000001</v>
      </c>
      <c r="G431" s="80">
        <v>205.18520000000001</v>
      </c>
      <c r="H431" s="46">
        <f t="shared" si="44"/>
        <v>0</v>
      </c>
      <c r="I431" s="46"/>
      <c r="J431" s="46"/>
      <c r="K431" s="194">
        <f t="shared" si="45"/>
        <v>0</v>
      </c>
    </row>
    <row r="432" spans="1:14" x14ac:dyDescent="0.2">
      <c r="A432" s="1309"/>
      <c r="B432" s="100" t="s">
        <v>132</v>
      </c>
      <c r="C432" s="43">
        <v>50146648</v>
      </c>
      <c r="D432" s="43">
        <v>836364</v>
      </c>
      <c r="E432" s="44">
        <v>1</v>
      </c>
      <c r="F432" s="521">
        <v>4734.7302</v>
      </c>
      <c r="G432" s="521">
        <v>4734.7302</v>
      </c>
      <c r="H432" s="46">
        <f t="shared" si="44"/>
        <v>0</v>
      </c>
      <c r="I432" s="46"/>
      <c r="J432" s="46"/>
      <c r="K432" s="194">
        <f t="shared" si="45"/>
        <v>0</v>
      </c>
    </row>
    <row r="433" spans="1:11" x14ac:dyDescent="0.2">
      <c r="A433" s="1309"/>
      <c r="B433" s="367" t="s">
        <v>555</v>
      </c>
      <c r="C433" s="43">
        <v>50149320</v>
      </c>
      <c r="D433" s="43">
        <v>836364</v>
      </c>
      <c r="E433" s="44">
        <v>1</v>
      </c>
      <c r="F433" s="521">
        <v>2399.9715999999999</v>
      </c>
      <c r="G433" s="521">
        <v>2399.9715999999999</v>
      </c>
      <c r="H433" s="46">
        <f t="shared" si="44"/>
        <v>0</v>
      </c>
      <c r="I433" s="46"/>
      <c r="J433" s="46"/>
      <c r="K433" s="194">
        <f t="shared" si="45"/>
        <v>0</v>
      </c>
    </row>
    <row r="434" spans="1:11" ht="12" customHeight="1" x14ac:dyDescent="0.2">
      <c r="A434" s="1309"/>
      <c r="B434" s="570" t="s">
        <v>133</v>
      </c>
      <c r="C434" s="43">
        <v>50147343</v>
      </c>
      <c r="D434" s="43">
        <v>836364</v>
      </c>
      <c r="E434" s="44">
        <v>1</v>
      </c>
      <c r="F434" s="530">
        <v>5350.5365000000002</v>
      </c>
      <c r="G434" s="530">
        <v>5350.5365000000002</v>
      </c>
      <c r="H434" s="46">
        <f t="shared" si="44"/>
        <v>0</v>
      </c>
      <c r="I434" s="46"/>
      <c r="J434" s="46"/>
      <c r="K434" s="194">
        <f t="shared" si="45"/>
        <v>0</v>
      </c>
    </row>
    <row r="435" spans="1:11" ht="12.75" hidden="1" customHeight="1" x14ac:dyDescent="0.2">
      <c r="A435" s="1309"/>
      <c r="B435" s="100" t="s">
        <v>405</v>
      </c>
      <c r="C435" s="43">
        <v>50147343</v>
      </c>
      <c r="D435" s="43">
        <v>836364</v>
      </c>
      <c r="E435" s="44">
        <v>1</v>
      </c>
      <c r="F435" s="452">
        <v>3244.4229999999998</v>
      </c>
      <c r="G435" s="452">
        <v>3244.4229999999998</v>
      </c>
      <c r="H435" s="46">
        <f t="shared" si="44"/>
        <v>0</v>
      </c>
      <c r="I435" s="46"/>
      <c r="J435" s="46"/>
      <c r="K435" s="194">
        <f t="shared" si="45"/>
        <v>0</v>
      </c>
    </row>
    <row r="436" spans="1:11" x14ac:dyDescent="0.2">
      <c r="A436" s="1309"/>
      <c r="B436" s="99" t="s">
        <v>134</v>
      </c>
      <c r="C436" s="43">
        <v>6769317</v>
      </c>
      <c r="D436" s="43">
        <v>480000</v>
      </c>
      <c r="E436" s="44">
        <v>1</v>
      </c>
      <c r="F436" s="452">
        <v>3244.4229999999998</v>
      </c>
      <c r="G436" s="452">
        <v>3244.4229999999998</v>
      </c>
      <c r="H436" s="46">
        <f t="shared" si="44"/>
        <v>0</v>
      </c>
      <c r="I436" s="46"/>
      <c r="J436" s="46"/>
      <c r="K436" s="194">
        <f t="shared" si="45"/>
        <v>0</v>
      </c>
    </row>
    <row r="437" spans="1:11" x14ac:dyDescent="0.2">
      <c r="A437" s="1309"/>
      <c r="B437" s="99" t="s">
        <v>556</v>
      </c>
      <c r="C437" s="43">
        <v>50146647</v>
      </c>
      <c r="D437" s="43">
        <v>480000</v>
      </c>
      <c r="E437" s="44">
        <v>1</v>
      </c>
      <c r="F437" s="80">
        <v>2.3210000000000002</v>
      </c>
      <c r="G437" s="80">
        <v>2.3210000000000002</v>
      </c>
      <c r="H437" s="46">
        <f t="shared" si="44"/>
        <v>0</v>
      </c>
      <c r="I437" s="46"/>
      <c r="J437" s="46"/>
      <c r="K437" s="194">
        <f t="shared" si="45"/>
        <v>0</v>
      </c>
    </row>
    <row r="438" spans="1:11" x14ac:dyDescent="0.2">
      <c r="A438" s="1309"/>
      <c r="B438" s="100" t="s">
        <v>135</v>
      </c>
      <c r="C438" s="43">
        <v>6769314</v>
      </c>
      <c r="D438" s="43">
        <v>480000</v>
      </c>
      <c r="E438" s="44">
        <v>1</v>
      </c>
      <c r="F438" s="80">
        <v>802.26400000000001</v>
      </c>
      <c r="G438" s="80">
        <v>802.26400000000001</v>
      </c>
      <c r="H438" s="46">
        <f t="shared" si="44"/>
        <v>0</v>
      </c>
      <c r="I438" s="46"/>
      <c r="J438" s="46"/>
      <c r="K438" s="194">
        <f t="shared" si="45"/>
        <v>0</v>
      </c>
    </row>
    <row r="439" spans="1:11" x14ac:dyDescent="0.2">
      <c r="A439" s="1309"/>
      <c r="B439" s="84" t="s">
        <v>8</v>
      </c>
      <c r="C439" s="43"/>
      <c r="D439" s="43"/>
      <c r="E439" s="44"/>
      <c r="F439" s="70"/>
      <c r="G439" s="70"/>
      <c r="H439" s="46"/>
      <c r="I439" s="46"/>
      <c r="J439" s="46"/>
      <c r="K439" s="195">
        <f>SUM(K430:K438)</f>
        <v>0</v>
      </c>
    </row>
    <row r="440" spans="1:11" ht="11.25" hidden="1" customHeight="1" x14ac:dyDescent="0.2">
      <c r="A440" s="1309"/>
      <c r="B440" s="100" t="s">
        <v>336</v>
      </c>
      <c r="C440" s="43">
        <v>50149318</v>
      </c>
      <c r="D440" s="43">
        <v>240000</v>
      </c>
      <c r="E440" s="44">
        <v>1</v>
      </c>
      <c r="F440" s="134">
        <v>141.45089999999999</v>
      </c>
      <c r="G440" s="134">
        <v>141.45089999999999</v>
      </c>
      <c r="H440" s="46">
        <f t="shared" si="44"/>
        <v>0</v>
      </c>
      <c r="I440" s="46"/>
      <c r="J440" s="46"/>
      <c r="K440" s="200">
        <f t="shared" ref="K440:K449" si="46">(G440-F440)*D440*E440</f>
        <v>0</v>
      </c>
    </row>
    <row r="441" spans="1:11" ht="12.75" hidden="1" customHeight="1" x14ac:dyDescent="0.2">
      <c r="A441" s="1309"/>
      <c r="B441" s="100" t="s">
        <v>405</v>
      </c>
      <c r="C441" s="43">
        <v>50149318</v>
      </c>
      <c r="D441" s="43">
        <v>240000</v>
      </c>
      <c r="E441" s="44">
        <v>1</v>
      </c>
      <c r="F441" s="134">
        <v>478.75720000000001</v>
      </c>
      <c r="G441" s="134">
        <v>478.75720000000001</v>
      </c>
      <c r="H441" s="46">
        <f t="shared" si="44"/>
        <v>0</v>
      </c>
      <c r="I441" s="46"/>
      <c r="J441" s="46"/>
      <c r="K441" s="200">
        <f t="shared" si="46"/>
        <v>0</v>
      </c>
    </row>
    <row r="442" spans="1:11" ht="12.75" hidden="1" customHeight="1" x14ac:dyDescent="0.2">
      <c r="A442" s="1309"/>
      <c r="B442" s="100" t="s">
        <v>298</v>
      </c>
      <c r="C442" s="43">
        <v>6769312</v>
      </c>
      <c r="D442" s="43">
        <v>240000</v>
      </c>
      <c r="E442" s="44">
        <v>1</v>
      </c>
      <c r="F442" s="70">
        <v>491.66399999999999</v>
      </c>
      <c r="G442" s="70">
        <v>491.66399999999999</v>
      </c>
      <c r="H442" s="46">
        <f t="shared" si="44"/>
        <v>0</v>
      </c>
      <c r="I442" s="46"/>
      <c r="J442" s="46"/>
      <c r="K442" s="200">
        <f t="shared" si="46"/>
        <v>0</v>
      </c>
    </row>
    <row r="443" spans="1:11" ht="12.75" customHeight="1" x14ac:dyDescent="0.2">
      <c r="A443" s="1309"/>
      <c r="B443" s="100" t="s">
        <v>1302</v>
      </c>
      <c r="C443" s="43">
        <v>50149319</v>
      </c>
      <c r="D443" s="43">
        <v>120000</v>
      </c>
      <c r="E443" s="44">
        <v>1</v>
      </c>
      <c r="F443" s="524">
        <v>1099.8571999999999</v>
      </c>
      <c r="G443" s="524">
        <v>1101.2603999999999</v>
      </c>
      <c r="H443" s="46">
        <f t="shared" si="44"/>
        <v>1.4031999999999698</v>
      </c>
      <c r="I443" s="46"/>
      <c r="J443" s="46"/>
      <c r="K443" s="200">
        <f>H443*D443*E443*1.025</f>
        <v>172593.59999999628</v>
      </c>
    </row>
    <row r="444" spans="1:11" x14ac:dyDescent="0.2">
      <c r="A444" s="1309"/>
      <c r="B444" s="100" t="s">
        <v>372</v>
      </c>
      <c r="C444" s="43">
        <v>50146649</v>
      </c>
      <c r="D444" s="43">
        <v>240000</v>
      </c>
      <c r="E444" s="44">
        <v>1</v>
      </c>
      <c r="F444" s="524">
        <v>662.70270000000005</v>
      </c>
      <c r="G444" s="524">
        <v>663.73860000000002</v>
      </c>
      <c r="H444" s="46">
        <f t="shared" si="44"/>
        <v>1.0358999999999696</v>
      </c>
      <c r="I444" s="46"/>
      <c r="J444" s="46"/>
      <c r="K444" s="200">
        <f>H444*D444*E444</f>
        <v>248615.99999999272</v>
      </c>
    </row>
    <row r="445" spans="1:11" x14ac:dyDescent="0.2">
      <c r="A445" s="1309"/>
      <c r="B445" s="367" t="s">
        <v>724</v>
      </c>
      <c r="C445" s="43">
        <v>50148200</v>
      </c>
      <c r="D445" s="43">
        <v>4000</v>
      </c>
      <c r="E445" s="44">
        <v>-1</v>
      </c>
      <c r="F445" s="524">
        <v>2157.5149999999999</v>
      </c>
      <c r="G445" s="524">
        <v>2175.748</v>
      </c>
      <c r="H445" s="46">
        <f>G445-F445</f>
        <v>18.233000000000175</v>
      </c>
      <c r="I445" s="46"/>
      <c r="J445" s="46"/>
      <c r="K445" s="200">
        <f>(G445-F445)*D445*E445</f>
        <v>-72932.000000000698</v>
      </c>
    </row>
    <row r="446" spans="1:11" x14ac:dyDescent="0.2">
      <c r="A446" s="1309"/>
      <c r="B446" s="367" t="s">
        <v>725</v>
      </c>
      <c r="C446" s="43">
        <v>50148199</v>
      </c>
      <c r="D446" s="43">
        <v>4000</v>
      </c>
      <c r="E446" s="44">
        <v>-1</v>
      </c>
      <c r="F446" s="524">
        <v>4177.6629999999996</v>
      </c>
      <c r="G446" s="524">
        <v>4234.2669999999998</v>
      </c>
      <c r="H446" s="46">
        <f>G446-F446</f>
        <v>56.604000000000269</v>
      </c>
      <c r="I446" s="46"/>
      <c r="J446" s="46"/>
      <c r="K446" s="200">
        <f>(G446-F446)*D446*E446</f>
        <v>-226416.00000000108</v>
      </c>
    </row>
    <row r="447" spans="1:11" x14ac:dyDescent="0.2">
      <c r="A447" s="1309"/>
      <c r="B447" s="367" t="s">
        <v>557</v>
      </c>
      <c r="C447" s="43">
        <v>50149321</v>
      </c>
      <c r="D447" s="43">
        <v>240000</v>
      </c>
      <c r="E447" s="44">
        <v>1</v>
      </c>
      <c r="F447" s="524">
        <v>440.03590000000003</v>
      </c>
      <c r="G447" s="524">
        <v>440.03590000000003</v>
      </c>
      <c r="H447" s="46">
        <f t="shared" si="44"/>
        <v>0</v>
      </c>
      <c r="I447" s="46"/>
      <c r="J447" s="46"/>
      <c r="K447" s="200">
        <f t="shared" si="46"/>
        <v>0</v>
      </c>
    </row>
    <row r="448" spans="1:11" ht="12" customHeight="1" x14ac:dyDescent="0.2">
      <c r="A448" s="1309"/>
      <c r="B448" s="367" t="s">
        <v>558</v>
      </c>
      <c r="C448" s="43">
        <v>50146650</v>
      </c>
      <c r="D448" s="43">
        <v>240000</v>
      </c>
      <c r="E448" s="44">
        <v>1</v>
      </c>
      <c r="F448" s="525">
        <v>113.0385</v>
      </c>
      <c r="G448" s="525">
        <v>113.3078</v>
      </c>
      <c r="H448" s="46">
        <f t="shared" si="44"/>
        <v>0.26930000000000121</v>
      </c>
      <c r="I448" s="46"/>
      <c r="J448" s="46"/>
      <c r="K448" s="200">
        <f t="shared" si="46"/>
        <v>64632.000000000291</v>
      </c>
    </row>
    <row r="449" spans="1:12" ht="12.75" customHeight="1" x14ac:dyDescent="0.2">
      <c r="A449" s="1309"/>
      <c r="B449" s="100" t="s">
        <v>347</v>
      </c>
      <c r="C449" s="43">
        <v>45029889</v>
      </c>
      <c r="D449" s="43">
        <v>4000</v>
      </c>
      <c r="E449" s="44">
        <v>1</v>
      </c>
      <c r="F449" s="70">
        <v>8688.0300000000007</v>
      </c>
      <c r="G449" s="70">
        <v>8688.0300000000007</v>
      </c>
      <c r="H449" s="46">
        <f t="shared" si="44"/>
        <v>0</v>
      </c>
      <c r="I449" s="46"/>
      <c r="J449" s="46"/>
      <c r="K449" s="200">
        <f t="shared" si="46"/>
        <v>0</v>
      </c>
    </row>
    <row r="450" spans="1:12" x14ac:dyDescent="0.2">
      <c r="A450" s="1309"/>
      <c r="B450" s="88" t="s">
        <v>52</v>
      </c>
      <c r="C450" s="43"/>
      <c r="D450" s="43"/>
      <c r="E450" s="44"/>
      <c r="F450" s="474"/>
      <c r="G450" s="70"/>
      <c r="H450" s="46"/>
      <c r="I450" s="46"/>
      <c r="J450" s="46"/>
      <c r="K450" s="195">
        <f>K443+K444+K447+K448+K445+K446</f>
        <v>186493.59999998755</v>
      </c>
    </row>
    <row r="451" spans="1:12" s="4" customFormat="1" x14ac:dyDescent="0.2">
      <c r="A451" s="1309"/>
      <c r="B451" s="71" t="s">
        <v>136</v>
      </c>
      <c r="C451" s="62"/>
      <c r="D451" s="62"/>
      <c r="E451" s="63"/>
      <c r="F451" s="64"/>
      <c r="G451" s="64"/>
      <c r="H451" s="65"/>
      <c r="I451" s="66"/>
      <c r="J451" s="66"/>
      <c r="K451" s="1241">
        <f>K439-K450</f>
        <v>-186493.59999998755</v>
      </c>
      <c r="L451" s="896">
        <v>1</v>
      </c>
    </row>
    <row r="452" spans="1:12" x14ac:dyDescent="0.2">
      <c r="A452" s="1309"/>
      <c r="B452" s="135" t="s">
        <v>1096</v>
      </c>
      <c r="C452" s="85">
        <v>12568028</v>
      </c>
      <c r="D452" s="136">
        <v>720000</v>
      </c>
      <c r="E452" s="44">
        <v>1</v>
      </c>
      <c r="F452" s="524">
        <v>3987.5009</v>
      </c>
      <c r="G452" s="524">
        <v>4008.1160249999998</v>
      </c>
      <c r="H452" s="87">
        <f>G452-F452</f>
        <v>20.615124999999807</v>
      </c>
      <c r="I452" s="46"/>
      <c r="J452" s="46"/>
      <c r="K452" s="194">
        <f>(G452-F452)*D452*E452</f>
        <v>14842889.99999986</v>
      </c>
    </row>
    <row r="453" spans="1:12" x14ac:dyDescent="0.2">
      <c r="A453" s="1309"/>
      <c r="B453" s="135" t="s">
        <v>1097</v>
      </c>
      <c r="C453" s="85">
        <v>12568028</v>
      </c>
      <c r="D453" s="136">
        <v>720000</v>
      </c>
      <c r="E453" s="44">
        <v>1</v>
      </c>
      <c r="F453" s="524">
        <v>0.85292500000000004</v>
      </c>
      <c r="G453" s="524">
        <v>0.85624999999999996</v>
      </c>
      <c r="H453" s="87">
        <f>G453-F453</f>
        <v>3.3249999999999114E-3</v>
      </c>
      <c r="I453" s="46"/>
      <c r="J453" s="46"/>
      <c r="K453" s="194">
        <f>(G453-F453)*D453*E453</f>
        <v>2393.9999999999363</v>
      </c>
    </row>
    <row r="454" spans="1:12" s="4" customFormat="1" x14ac:dyDescent="0.2">
      <c r="A454" s="1309"/>
      <c r="B454" s="137" t="s">
        <v>1616</v>
      </c>
      <c r="C454" s="62"/>
      <c r="D454" s="62"/>
      <c r="E454" s="63"/>
      <c r="F454" s="64"/>
      <c r="G454" s="64"/>
      <c r="H454" s="90"/>
      <c r="I454" s="66"/>
      <c r="J454" s="66"/>
      <c r="K454" s="1238">
        <f>K452-K453</f>
        <v>14840495.99999986</v>
      </c>
      <c r="L454" s="896">
        <v>2</v>
      </c>
    </row>
    <row r="455" spans="1:12" ht="12.6" customHeight="1" x14ac:dyDescent="0.2">
      <c r="A455" s="1309"/>
      <c r="B455" s="135" t="s">
        <v>1098</v>
      </c>
      <c r="C455" s="85" t="s">
        <v>418</v>
      </c>
      <c r="D455" s="85">
        <v>1000</v>
      </c>
      <c r="E455" s="44">
        <v>0.99612999999999996</v>
      </c>
      <c r="F455" s="521">
        <v>397096.31699999998</v>
      </c>
      <c r="G455" s="521">
        <v>489288.16100000002</v>
      </c>
      <c r="H455" s="52">
        <f>G455-F455</f>
        <v>92191.844000000041</v>
      </c>
      <c r="I455" s="87"/>
      <c r="J455" s="87"/>
      <c r="K455" s="200">
        <f>(G455-F455)*D455*E455</f>
        <v>91835061.563720047</v>
      </c>
    </row>
    <row r="456" spans="1:12" ht="11.45" customHeight="1" x14ac:dyDescent="0.2">
      <c r="A456" s="1309"/>
      <c r="B456" s="135" t="s">
        <v>1099</v>
      </c>
      <c r="C456" s="85" t="s">
        <v>418</v>
      </c>
      <c r="D456" s="85">
        <v>1000</v>
      </c>
      <c r="E456" s="44">
        <v>0.99612999999999996</v>
      </c>
      <c r="F456" s="532">
        <v>10059.091</v>
      </c>
      <c r="G456" s="532">
        <v>10059.091</v>
      </c>
      <c r="H456" s="52">
        <f>G456-F456</f>
        <v>0</v>
      </c>
      <c r="I456" s="87"/>
      <c r="J456" s="87"/>
      <c r="K456" s="200">
        <f>(G456-F456)*D456*E456</f>
        <v>0</v>
      </c>
    </row>
    <row r="457" spans="1:12" ht="12.6" customHeight="1" x14ac:dyDescent="0.2">
      <c r="A457" s="1309"/>
      <c r="B457" s="135"/>
      <c r="C457" s="85"/>
      <c r="D457" s="85"/>
      <c r="E457" s="44"/>
      <c r="F457" s="52"/>
      <c r="G457" s="52"/>
      <c r="H457" s="52"/>
      <c r="I457" s="87"/>
      <c r="J457" s="87"/>
      <c r="K457" s="1240">
        <f>K455-K456</f>
        <v>91835061.563720047</v>
      </c>
    </row>
    <row r="458" spans="1:12" ht="13.15" customHeight="1" x14ac:dyDescent="0.2">
      <c r="A458" s="1309"/>
      <c r="B458" s="135" t="s">
        <v>547</v>
      </c>
      <c r="C458" s="85" t="s">
        <v>548</v>
      </c>
      <c r="D458" s="85">
        <v>1000</v>
      </c>
      <c r="E458" s="44">
        <v>0.99714999999999998</v>
      </c>
      <c r="F458" s="525">
        <v>4486430.8</v>
      </c>
      <c r="G458" s="525">
        <v>4538951.0999999996</v>
      </c>
      <c r="H458" s="52">
        <f>G458-F458</f>
        <v>52520.299999999814</v>
      </c>
      <c r="I458" s="87"/>
      <c r="J458" s="87"/>
      <c r="K458" s="200">
        <f>(G458-F458)*D458*E458</f>
        <v>52370617.14499981</v>
      </c>
    </row>
    <row r="459" spans="1:12" x14ac:dyDescent="0.2">
      <c r="A459" s="1309"/>
      <c r="B459" s="135" t="s">
        <v>549</v>
      </c>
      <c r="C459" s="85" t="s">
        <v>548</v>
      </c>
      <c r="D459" s="85">
        <v>1000</v>
      </c>
      <c r="E459" s="44">
        <v>0.99714999999999998</v>
      </c>
      <c r="F459" s="525">
        <v>3.2</v>
      </c>
      <c r="G459" s="525">
        <v>3.2</v>
      </c>
      <c r="H459" s="52">
        <f>G459-F459</f>
        <v>0</v>
      </c>
      <c r="I459" s="87"/>
      <c r="J459" s="87"/>
      <c r="K459" s="200">
        <f>(G459-F459)*D459*E459</f>
        <v>0</v>
      </c>
    </row>
    <row r="460" spans="1:12" x14ac:dyDescent="0.2">
      <c r="A460" s="1309"/>
      <c r="B460" s="135"/>
      <c r="C460" s="85"/>
      <c r="D460" s="85"/>
      <c r="E460" s="44"/>
      <c r="F460" s="575"/>
      <c r="G460" s="575"/>
      <c r="H460" s="52"/>
      <c r="I460" s="87"/>
      <c r="J460" s="87"/>
      <c r="K460" s="1240">
        <f>K458-K459</f>
        <v>52370617.14499981</v>
      </c>
    </row>
    <row r="461" spans="1:12" x14ac:dyDescent="0.2">
      <c r="A461" s="1309"/>
      <c r="B461" s="135" t="s">
        <v>416</v>
      </c>
      <c r="C461" s="85" t="s">
        <v>446</v>
      </c>
      <c r="D461" s="85">
        <v>1000</v>
      </c>
      <c r="E461" s="44">
        <v>0.99429999999999996</v>
      </c>
      <c r="F461" s="52">
        <v>275951.93199999997</v>
      </c>
      <c r="G461" s="52">
        <v>275951.93199999997</v>
      </c>
      <c r="H461" s="52">
        <f>G461-F461</f>
        <v>0</v>
      </c>
      <c r="I461" s="87"/>
      <c r="J461" s="87"/>
      <c r="K461" s="200">
        <f>(G461-F461)*D461*E461</f>
        <v>0</v>
      </c>
    </row>
    <row r="462" spans="1:12" x14ac:dyDescent="0.2">
      <c r="A462" s="1309"/>
      <c r="B462" s="135" t="s">
        <v>417</v>
      </c>
      <c r="C462" s="85" t="s">
        <v>446</v>
      </c>
      <c r="D462" s="85">
        <v>1000</v>
      </c>
      <c r="E462" s="44">
        <v>0.99592999999999998</v>
      </c>
      <c r="F462" s="52">
        <v>98.864999999999995</v>
      </c>
      <c r="G462" s="52">
        <v>98.864999999999995</v>
      </c>
      <c r="H462" s="52">
        <f>G462-F462</f>
        <v>0</v>
      </c>
      <c r="I462" s="87"/>
      <c r="J462" s="87"/>
      <c r="K462" s="200">
        <f>(G462-F462)*D462*E462</f>
        <v>0</v>
      </c>
    </row>
    <row r="463" spans="1:12" x14ac:dyDescent="0.2">
      <c r="A463" s="1309"/>
      <c r="B463" s="140" t="s">
        <v>419</v>
      </c>
      <c r="C463" s="62"/>
      <c r="D463" s="62"/>
      <c r="E463" s="63"/>
      <c r="F463" s="64"/>
      <c r="G463" s="64"/>
      <c r="H463" s="64"/>
      <c r="I463" s="66"/>
      <c r="J463" s="66"/>
      <c r="K463" s="1238">
        <f>K460+K457</f>
        <v>144205678.70871985</v>
      </c>
      <c r="L463" s="749">
        <v>3</v>
      </c>
    </row>
    <row r="464" spans="1:12" x14ac:dyDescent="0.2">
      <c r="A464" s="1309"/>
      <c r="B464" s="135" t="s">
        <v>697</v>
      </c>
      <c r="C464" s="78">
        <v>51123692</v>
      </c>
      <c r="D464" s="78">
        <v>3680000</v>
      </c>
      <c r="E464" s="55">
        <v>1</v>
      </c>
      <c r="F464" s="525">
        <v>4798.6084000000001</v>
      </c>
      <c r="G464" s="525">
        <v>4863.2876999999999</v>
      </c>
      <c r="H464" s="80">
        <f>G464-F464</f>
        <v>64.679299999999785</v>
      </c>
      <c r="I464" s="57"/>
      <c r="J464" s="57"/>
      <c r="K464" s="198">
        <f>(G464-F464)*D464*E464</f>
        <v>238019823.9999992</v>
      </c>
    </row>
    <row r="465" spans="1:14" x14ac:dyDescent="0.2">
      <c r="A465" s="1309"/>
      <c r="B465" s="135" t="s">
        <v>583</v>
      </c>
      <c r="C465" s="78">
        <v>51123692</v>
      </c>
      <c r="D465" s="78">
        <v>3680000</v>
      </c>
      <c r="E465" s="55">
        <v>1</v>
      </c>
      <c r="F465" s="525">
        <v>34.037300000000002</v>
      </c>
      <c r="G465" s="525">
        <v>34.037300000000002</v>
      </c>
      <c r="H465" s="80">
        <f>G465-F465</f>
        <v>0</v>
      </c>
      <c r="I465" s="57"/>
      <c r="J465" s="57"/>
      <c r="K465" s="198">
        <f>(G465-F465)*D465*E465</f>
        <v>0</v>
      </c>
    </row>
    <row r="466" spans="1:14" x14ac:dyDescent="0.2">
      <c r="A466" s="1309"/>
      <c r="B466" s="135" t="s">
        <v>454</v>
      </c>
      <c r="C466" s="78">
        <v>51123694</v>
      </c>
      <c r="D466" s="78">
        <v>575000</v>
      </c>
      <c r="E466" s="55">
        <v>1</v>
      </c>
      <c r="F466" s="525">
        <v>66.858400000000003</v>
      </c>
      <c r="G466" s="525">
        <v>66.858800000000002</v>
      </c>
      <c r="H466" s="80">
        <f>G466-F466</f>
        <v>3.9999999999906777E-4</v>
      </c>
      <c r="I466" s="57"/>
      <c r="J466" s="57"/>
      <c r="K466" s="198">
        <f>(G466-F466)*D466*E466</f>
        <v>229.99999999946397</v>
      </c>
    </row>
    <row r="467" spans="1:14" x14ac:dyDescent="0.2">
      <c r="A467" s="1309"/>
      <c r="B467" s="135" t="s">
        <v>455</v>
      </c>
      <c r="C467" s="78"/>
      <c r="D467" s="78"/>
      <c r="E467" s="55"/>
      <c r="F467" s="80"/>
      <c r="G467" s="80"/>
      <c r="H467" s="80"/>
      <c r="I467" s="57"/>
      <c r="J467" s="57"/>
      <c r="K467" s="198">
        <f>K464</f>
        <v>238019823.9999992</v>
      </c>
    </row>
    <row r="468" spans="1:14" x14ac:dyDescent="0.2">
      <c r="A468" s="1309"/>
      <c r="B468" s="135" t="s">
        <v>456</v>
      </c>
      <c r="C468" s="102"/>
      <c r="D468" s="102"/>
      <c r="E468" s="55"/>
      <c r="F468" s="103"/>
      <c r="G468" s="103"/>
      <c r="H468" s="103"/>
      <c r="I468" s="57"/>
      <c r="J468" s="57"/>
      <c r="K468" s="198">
        <f>K465+K466</f>
        <v>229.99999999946397</v>
      </c>
    </row>
    <row r="469" spans="1:14" x14ac:dyDescent="0.2">
      <c r="A469" s="1309"/>
      <c r="B469" s="140" t="s">
        <v>457</v>
      </c>
      <c r="C469" s="62"/>
      <c r="D469" s="62"/>
      <c r="E469" s="63"/>
      <c r="F469" s="64"/>
      <c r="G469" s="64"/>
      <c r="H469" s="64"/>
      <c r="I469" s="66"/>
      <c r="J469" s="66"/>
      <c r="K469" s="1238">
        <f>K467-K468</f>
        <v>238019593.9999992</v>
      </c>
      <c r="L469" s="749">
        <v>4</v>
      </c>
    </row>
    <row r="470" spans="1:14" x14ac:dyDescent="0.2">
      <c r="A470" s="1309"/>
      <c r="B470" s="135" t="s">
        <v>559</v>
      </c>
      <c r="C470" s="78">
        <v>51381571</v>
      </c>
      <c r="D470" s="78">
        <v>3636363.6359999999</v>
      </c>
      <c r="E470" s="55">
        <v>1</v>
      </c>
      <c r="F470" s="521">
        <v>4620.1324999999997</v>
      </c>
      <c r="G470" s="521">
        <v>4675.2852000000003</v>
      </c>
      <c r="H470" s="80">
        <f>G470-F470</f>
        <v>55.15270000000055</v>
      </c>
      <c r="I470" s="57"/>
      <c r="J470" s="57"/>
      <c r="K470" s="198">
        <f>(G470-F470)*D470*E470</f>
        <v>200555272.70721918</v>
      </c>
    </row>
    <row r="471" spans="1:14" x14ac:dyDescent="0.2">
      <c r="A471" s="1309"/>
      <c r="B471" s="135" t="s">
        <v>560</v>
      </c>
      <c r="C471" s="78">
        <v>51381571</v>
      </c>
      <c r="D471" s="78">
        <v>3636363.6359999999</v>
      </c>
      <c r="E471" s="55">
        <v>1</v>
      </c>
      <c r="F471" s="532">
        <v>5.0827999999999998</v>
      </c>
      <c r="G471" s="532">
        <v>5.1832000000000003</v>
      </c>
      <c r="H471" s="369">
        <f>G471-F471</f>
        <v>0.10040000000000049</v>
      </c>
      <c r="I471" s="57"/>
      <c r="J471" s="57"/>
      <c r="K471" s="198">
        <f>(G471-F471)*D471*E471</f>
        <v>365090.9090544018</v>
      </c>
    </row>
    <row r="472" spans="1:14" x14ac:dyDescent="0.2">
      <c r="A472" s="1309"/>
      <c r="B472" s="135" t="s">
        <v>567</v>
      </c>
      <c r="C472" s="78">
        <v>51381569</v>
      </c>
      <c r="D472" s="78">
        <v>909090.90910000005</v>
      </c>
      <c r="E472" s="55">
        <v>1</v>
      </c>
      <c r="F472" s="532">
        <v>21.473600000000001</v>
      </c>
      <c r="G472" s="532">
        <v>21.473600000000001</v>
      </c>
      <c r="H472" s="369">
        <f>G472-F472</f>
        <v>0</v>
      </c>
      <c r="I472" s="57"/>
      <c r="J472" s="57"/>
      <c r="K472" s="198">
        <f>(G472-F472)*D472*E472</f>
        <v>0</v>
      </c>
    </row>
    <row r="473" spans="1:14" x14ac:dyDescent="0.2">
      <c r="A473" s="1309"/>
      <c r="B473" s="135" t="s">
        <v>1303</v>
      </c>
      <c r="C473" s="78">
        <v>51381569</v>
      </c>
      <c r="D473" s="78">
        <v>909090.90910000005</v>
      </c>
      <c r="E473" s="55">
        <v>1</v>
      </c>
      <c r="F473" s="532">
        <v>1.8E-3</v>
      </c>
      <c r="G473" s="532">
        <v>1.8E-3</v>
      </c>
      <c r="H473" s="369">
        <f>G473-F473</f>
        <v>0</v>
      </c>
      <c r="I473" s="57"/>
      <c r="J473" s="57"/>
      <c r="K473" s="198">
        <f>(G473-F473)*D473*E473</f>
        <v>0</v>
      </c>
    </row>
    <row r="474" spans="1:14" x14ac:dyDescent="0.2">
      <c r="A474" s="1309"/>
      <c r="B474" s="363" t="s">
        <v>367</v>
      </c>
      <c r="C474" s="102"/>
      <c r="D474" s="102"/>
      <c r="E474" s="55"/>
      <c r="F474" s="423"/>
      <c r="G474" s="103"/>
      <c r="H474" s="103"/>
      <c r="I474" s="57"/>
      <c r="J474" s="57"/>
      <c r="K474" s="431">
        <f>K470+K473</f>
        <v>200555272.70721918</v>
      </c>
    </row>
    <row r="475" spans="1:14" x14ac:dyDescent="0.2">
      <c r="A475" s="1309"/>
      <c r="B475" s="363" t="s">
        <v>561</v>
      </c>
      <c r="C475" s="102"/>
      <c r="D475" s="102"/>
      <c r="E475" s="55"/>
      <c r="F475" s="423"/>
      <c r="G475" s="103"/>
      <c r="H475" s="103"/>
      <c r="I475" s="57"/>
      <c r="J475" s="57"/>
      <c r="K475" s="431">
        <f>K471+K472</f>
        <v>365090.9090544018</v>
      </c>
    </row>
    <row r="476" spans="1:14" x14ac:dyDescent="0.2">
      <c r="A476" s="1309"/>
      <c r="B476" s="140" t="s">
        <v>562</v>
      </c>
      <c r="C476" s="62"/>
      <c r="D476" s="62"/>
      <c r="E476" s="63"/>
      <c r="F476" s="64"/>
      <c r="G476" s="64"/>
      <c r="H476" s="64"/>
      <c r="I476" s="66"/>
      <c r="J476" s="66"/>
      <c r="K476" s="1238">
        <f>K474-K475</f>
        <v>200190181.79816478</v>
      </c>
      <c r="L476" s="749">
        <v>5</v>
      </c>
    </row>
    <row r="477" spans="1:14" x14ac:dyDescent="0.2">
      <c r="A477" s="1309"/>
      <c r="B477" s="135" t="s">
        <v>1391</v>
      </c>
      <c r="C477" s="78">
        <v>16631263</v>
      </c>
      <c r="D477" s="78">
        <v>2909090.91</v>
      </c>
      <c r="E477" s="79">
        <v>1</v>
      </c>
      <c r="F477" s="521">
        <v>1434.8361</v>
      </c>
      <c r="G477" s="521">
        <v>1434.8361</v>
      </c>
      <c r="H477" s="80">
        <f>G477-F477</f>
        <v>0</v>
      </c>
      <c r="I477" s="57"/>
      <c r="J477" s="57"/>
      <c r="K477" s="198">
        <f>(G477-F477)*D477*E477</f>
        <v>0</v>
      </c>
      <c r="N477" s="1146"/>
    </row>
    <row r="478" spans="1:14" x14ac:dyDescent="0.2">
      <c r="A478" s="1309"/>
      <c r="B478" s="135" t="s">
        <v>1392</v>
      </c>
      <c r="C478" s="78">
        <v>16631263</v>
      </c>
      <c r="D478" s="78">
        <v>2909090.91</v>
      </c>
      <c r="E478" s="79">
        <v>1</v>
      </c>
      <c r="F478" s="521">
        <v>6.8714750000000002</v>
      </c>
      <c r="G478" s="521">
        <v>7.1056499999999998</v>
      </c>
      <c r="H478" s="80">
        <f>G478-F478</f>
        <v>0.23417499999999958</v>
      </c>
      <c r="I478" s="57"/>
      <c r="J478" s="57"/>
      <c r="K478" s="431">
        <f>(G478-F478)*D478*E478</f>
        <v>681236.36384924885</v>
      </c>
    </row>
    <row r="479" spans="1:14" x14ac:dyDescent="0.2">
      <c r="A479" s="1309"/>
      <c r="B479" s="135"/>
      <c r="C479" s="78"/>
      <c r="D479" s="78"/>
      <c r="E479" s="79"/>
      <c r="F479" s="80"/>
      <c r="G479" s="80"/>
      <c r="H479" s="80"/>
      <c r="I479" s="57"/>
      <c r="J479" s="57"/>
      <c r="K479" s="431">
        <f>K477-K478</f>
        <v>-681236.36384924885</v>
      </c>
    </row>
    <row r="480" spans="1:14" x14ac:dyDescent="0.2">
      <c r="A480" s="1309"/>
      <c r="B480" s="135" t="s">
        <v>1393</v>
      </c>
      <c r="C480" s="78">
        <v>16631265</v>
      </c>
      <c r="D480" s="78">
        <v>418181.81800000003</v>
      </c>
      <c r="E480" s="79">
        <v>1</v>
      </c>
      <c r="F480" s="521">
        <v>0</v>
      </c>
      <c r="G480" s="521">
        <v>0</v>
      </c>
      <c r="H480" s="80">
        <f>G480-F480</f>
        <v>0</v>
      </c>
      <c r="I480" s="57"/>
      <c r="J480" s="57"/>
      <c r="K480" s="431">
        <f>(G480-F480)*D480*E480</f>
        <v>0</v>
      </c>
    </row>
    <row r="481" spans="1:12" x14ac:dyDescent="0.2">
      <c r="A481" s="1309"/>
      <c r="B481" s="135" t="s">
        <v>1394</v>
      </c>
      <c r="C481" s="78">
        <v>16631265</v>
      </c>
      <c r="D481" s="78">
        <v>418181.81800000003</v>
      </c>
      <c r="E481" s="79">
        <v>1</v>
      </c>
      <c r="F481" s="521">
        <v>9.9636999999999993</v>
      </c>
      <c r="G481" s="521">
        <v>10.001749999999999</v>
      </c>
      <c r="H481" s="80">
        <f>G481-F481</f>
        <v>3.8050000000000139E-2</v>
      </c>
      <c r="I481" s="57"/>
      <c r="J481" s="57"/>
      <c r="K481" s="431">
        <f>(G481-F481)*D481*E481</f>
        <v>15911.81817490006</v>
      </c>
    </row>
    <row r="482" spans="1:12" x14ac:dyDescent="0.2">
      <c r="A482" s="1309"/>
      <c r="B482" s="135"/>
      <c r="C482" s="78"/>
      <c r="D482" s="78"/>
      <c r="E482" s="79"/>
      <c r="F482" s="80"/>
      <c r="G482" s="80"/>
      <c r="H482" s="80"/>
      <c r="I482" s="57"/>
      <c r="J482" s="57"/>
      <c r="K482" s="431">
        <f>K480-K481</f>
        <v>-15911.81817490006</v>
      </c>
    </row>
    <row r="483" spans="1:12" x14ac:dyDescent="0.2">
      <c r="A483" s="1309"/>
      <c r="B483" s="428" t="s">
        <v>1395</v>
      </c>
      <c r="C483" s="62"/>
      <c r="D483" s="62"/>
      <c r="E483" s="63"/>
      <c r="F483" s="64"/>
      <c r="G483" s="64"/>
      <c r="H483" s="64"/>
      <c r="I483" s="66"/>
      <c r="J483" s="66"/>
      <c r="K483" s="1238">
        <f>K479+K482</f>
        <v>-697148.18202414887</v>
      </c>
      <c r="L483" s="749">
        <v>6</v>
      </c>
    </row>
    <row r="484" spans="1:12" x14ac:dyDescent="0.2">
      <c r="A484" s="1309"/>
      <c r="B484" s="135" t="s">
        <v>576</v>
      </c>
      <c r="C484" s="85">
        <v>38172760</v>
      </c>
      <c r="D484" s="85">
        <v>1672727.273</v>
      </c>
      <c r="E484" s="44">
        <v>1</v>
      </c>
      <c r="F484" s="521">
        <v>8.5503</v>
      </c>
      <c r="G484" s="521">
        <v>50.063400000000001</v>
      </c>
      <c r="H484" s="52">
        <f>G484-F484</f>
        <v>41.513100000000001</v>
      </c>
      <c r="I484" s="46"/>
      <c r="J484" s="46"/>
      <c r="K484" s="200">
        <f>(G484-F484)*D484*E484</f>
        <v>69440094.5567763</v>
      </c>
    </row>
    <row r="485" spans="1:12" x14ac:dyDescent="0.2">
      <c r="A485" s="1309"/>
      <c r="B485" s="135" t="s">
        <v>577</v>
      </c>
      <c r="C485" s="85">
        <v>38172760</v>
      </c>
      <c r="D485" s="85">
        <v>1672727.273</v>
      </c>
      <c r="E485" s="44">
        <v>1</v>
      </c>
      <c r="F485" s="521">
        <v>3.4561000000000002</v>
      </c>
      <c r="G485" s="521">
        <v>3.51</v>
      </c>
      <c r="H485" s="52">
        <f>G485-F485</f>
        <v>5.3899999999999615E-2</v>
      </c>
      <c r="I485" s="46"/>
      <c r="J485" s="46"/>
      <c r="K485" s="200">
        <f>(G485-F485)*D485*E485</f>
        <v>90160.000014699355</v>
      </c>
    </row>
    <row r="486" spans="1:12" x14ac:dyDescent="0.2">
      <c r="A486" s="1309"/>
      <c r="B486" s="363" t="s">
        <v>578</v>
      </c>
      <c r="C486" s="85"/>
      <c r="D486" s="85"/>
      <c r="E486" s="44"/>
      <c r="F486" s="141"/>
      <c r="G486" s="141"/>
      <c r="H486" s="52"/>
      <c r="I486" s="46"/>
      <c r="J486" s="46"/>
      <c r="K486" s="195">
        <f>K596+K484</f>
        <v>69440094.5567763</v>
      </c>
    </row>
    <row r="487" spans="1:12" x14ac:dyDescent="0.2">
      <c r="A487" s="1309"/>
      <c r="B487" s="363" t="s">
        <v>409</v>
      </c>
      <c r="C487" s="85"/>
      <c r="D487" s="85"/>
      <c r="E487" s="44"/>
      <c r="F487" s="141"/>
      <c r="G487" s="141"/>
      <c r="H487" s="52"/>
      <c r="I487" s="46"/>
      <c r="J487" s="46"/>
      <c r="K487" s="195">
        <f>K597+K485</f>
        <v>90160.000014699355</v>
      </c>
    </row>
    <row r="488" spans="1:12" x14ac:dyDescent="0.2">
      <c r="A488" s="1309"/>
      <c r="B488" s="140" t="s">
        <v>420</v>
      </c>
      <c r="C488" s="62"/>
      <c r="D488" s="62"/>
      <c r="E488" s="63"/>
      <c r="F488" s="64"/>
      <c r="G488" s="64"/>
      <c r="H488" s="64"/>
      <c r="I488" s="66"/>
      <c r="J488" s="66"/>
      <c r="K488" s="1238">
        <f>K486-K487</f>
        <v>69349934.556761608</v>
      </c>
      <c r="L488" s="749">
        <v>7</v>
      </c>
    </row>
    <row r="489" spans="1:12" x14ac:dyDescent="0.2">
      <c r="A489" s="1309"/>
      <c r="B489" s="1090" t="s">
        <v>630</v>
      </c>
      <c r="C489" s="1091">
        <v>38992540</v>
      </c>
      <c r="D489" s="1091">
        <v>1920000</v>
      </c>
      <c r="E489" s="1092">
        <v>1</v>
      </c>
      <c r="F489" s="1093">
        <v>276.5025</v>
      </c>
      <c r="G489" s="1093">
        <v>276.5025</v>
      </c>
      <c r="H489" s="1093">
        <f>G489-F489</f>
        <v>0</v>
      </c>
      <c r="I489" s="1094"/>
      <c r="J489" s="1094"/>
      <c r="K489" s="1095">
        <f>(G489-F489)*D489*E489</f>
        <v>0</v>
      </c>
    </row>
    <row r="490" spans="1:12" x14ac:dyDescent="0.2">
      <c r="A490" s="1309"/>
      <c r="B490" s="1090" t="s">
        <v>631</v>
      </c>
      <c r="C490" s="1091">
        <v>38992540</v>
      </c>
      <c r="D490" s="1091">
        <v>1920000</v>
      </c>
      <c r="E490" s="1092">
        <v>1</v>
      </c>
      <c r="F490" s="1093">
        <v>4.3446999999999996</v>
      </c>
      <c r="G490" s="1093">
        <v>4.3446999999999996</v>
      </c>
      <c r="H490" s="1093">
        <f>G490-F490</f>
        <v>0</v>
      </c>
      <c r="I490" s="1094"/>
      <c r="J490" s="1094"/>
      <c r="K490" s="1095">
        <f>(G490-F490)*D490*E490</f>
        <v>0</v>
      </c>
    </row>
    <row r="491" spans="1:12" x14ac:dyDescent="0.2">
      <c r="A491" s="1309"/>
      <c r="B491" s="1096" t="s">
        <v>632</v>
      </c>
      <c r="C491" s="1097"/>
      <c r="D491" s="1097"/>
      <c r="E491" s="1092"/>
      <c r="F491" s="1098"/>
      <c r="G491" s="1098"/>
      <c r="H491" s="1098"/>
      <c r="I491" s="1094"/>
      <c r="J491" s="1094"/>
      <c r="K491" s="1099">
        <f>K489-K490</f>
        <v>0</v>
      </c>
      <c r="L491" s="749">
        <v>8</v>
      </c>
    </row>
    <row r="492" spans="1:12" x14ac:dyDescent="0.2">
      <c r="A492" s="1309"/>
      <c r="B492" s="122" t="s">
        <v>137</v>
      </c>
      <c r="C492" s="43">
        <v>9468511</v>
      </c>
      <c r="D492" s="43">
        <v>480000</v>
      </c>
      <c r="E492" s="44">
        <v>1</v>
      </c>
      <c r="F492" s="524">
        <v>8372.0890249999993</v>
      </c>
      <c r="G492" s="524">
        <v>8429.2596749999993</v>
      </c>
      <c r="H492" s="87">
        <f t="shared" ref="H492:H503" si="47">G492-F492</f>
        <v>57.170650000000023</v>
      </c>
      <c r="I492" s="46"/>
      <c r="J492" s="46"/>
      <c r="K492" s="194">
        <f>(G492-F492)*D492*E492</f>
        <v>27441912.000000011</v>
      </c>
    </row>
    <row r="493" spans="1:12" x14ac:dyDescent="0.2">
      <c r="A493" s="1309"/>
      <c r="B493" s="42" t="s">
        <v>138</v>
      </c>
      <c r="C493" s="43">
        <v>9468511</v>
      </c>
      <c r="D493" s="43">
        <v>480000</v>
      </c>
      <c r="E493" s="44">
        <v>1</v>
      </c>
      <c r="F493" s="524">
        <v>0.99395</v>
      </c>
      <c r="G493" s="524">
        <v>0.99977499999999997</v>
      </c>
      <c r="H493" s="87">
        <f t="shared" si="47"/>
        <v>5.8249999999999691E-3</v>
      </c>
      <c r="I493" s="46"/>
      <c r="J493" s="46"/>
      <c r="K493" s="200">
        <f>(G493-F493)*D493*E493</f>
        <v>2795.999999999985</v>
      </c>
    </row>
    <row r="494" spans="1:12" s="4" customFormat="1" x14ac:dyDescent="0.2">
      <c r="A494" s="1309"/>
      <c r="B494" s="61" t="s">
        <v>139</v>
      </c>
      <c r="C494" s="62"/>
      <c r="D494" s="62"/>
      <c r="E494" s="63"/>
      <c r="F494" s="64"/>
      <c r="G494" s="64"/>
      <c r="H494" s="65"/>
      <c r="I494" s="66"/>
      <c r="J494" s="66"/>
      <c r="K494" s="1238">
        <f>K492-K493</f>
        <v>27439116.000000011</v>
      </c>
      <c r="L494" s="896">
        <v>9</v>
      </c>
    </row>
    <row r="495" spans="1:12" x14ac:dyDescent="0.2">
      <c r="A495" s="1309"/>
      <c r="B495" s="446" t="s">
        <v>140</v>
      </c>
      <c r="C495" s="447">
        <v>95167190</v>
      </c>
      <c r="D495" s="447">
        <v>36000</v>
      </c>
      <c r="E495" s="448">
        <v>1</v>
      </c>
      <c r="F495" s="449">
        <v>26542.891599999999</v>
      </c>
      <c r="G495" s="449">
        <v>26542.891599999999</v>
      </c>
      <c r="H495" s="450">
        <f t="shared" si="47"/>
        <v>0</v>
      </c>
      <c r="I495" s="450"/>
      <c r="J495" s="450"/>
      <c r="K495" s="451">
        <f>(G495-F495)*D495*E495</f>
        <v>0</v>
      </c>
    </row>
    <row r="496" spans="1:12" x14ac:dyDescent="0.2">
      <c r="A496" s="1309"/>
      <c r="B496" s="446" t="s">
        <v>141</v>
      </c>
      <c r="C496" s="447">
        <v>95167192</v>
      </c>
      <c r="D496" s="447">
        <v>36000</v>
      </c>
      <c r="E496" s="448">
        <v>1</v>
      </c>
      <c r="F496" s="449">
        <v>26419.4905</v>
      </c>
      <c r="G496" s="449">
        <v>26419.4905</v>
      </c>
      <c r="H496" s="450">
        <f t="shared" si="47"/>
        <v>0</v>
      </c>
      <c r="I496" s="450"/>
      <c r="J496" s="450"/>
      <c r="K496" s="451">
        <f>(G496-F496)*D496*E496</f>
        <v>0</v>
      </c>
    </row>
    <row r="497" spans="1:12" s="770" customFormat="1" x14ac:dyDescent="0.2">
      <c r="A497" s="1309"/>
      <c r="B497" s="47" t="s">
        <v>605</v>
      </c>
      <c r="C497" s="54">
        <v>38941573</v>
      </c>
      <c r="D497" s="54">
        <v>36000</v>
      </c>
      <c r="E497" s="55">
        <v>1</v>
      </c>
      <c r="F497" s="531">
        <v>10730.786400000001</v>
      </c>
      <c r="G497" s="531">
        <v>10730.786400000001</v>
      </c>
      <c r="H497" s="57">
        <f t="shared" si="47"/>
        <v>0</v>
      </c>
      <c r="I497" s="57"/>
      <c r="J497" s="57"/>
      <c r="K497" s="196">
        <f>(G497-F497)*D497*E497</f>
        <v>0</v>
      </c>
      <c r="L497" s="901"/>
    </row>
    <row r="498" spans="1:12" x14ac:dyDescent="0.2">
      <c r="A498" s="1309"/>
      <c r="B498" s="42" t="s">
        <v>606</v>
      </c>
      <c r="C498" s="43">
        <v>38941575</v>
      </c>
      <c r="D498" s="43">
        <v>36000</v>
      </c>
      <c r="E498" s="44">
        <v>1</v>
      </c>
      <c r="F498" s="531">
        <v>10495.4285</v>
      </c>
      <c r="G498" s="531">
        <v>10495.4285</v>
      </c>
      <c r="H498" s="46">
        <f t="shared" si="47"/>
        <v>0</v>
      </c>
      <c r="I498" s="46"/>
      <c r="J498" s="46"/>
      <c r="K498" s="194">
        <f>(G498-F498)*D498*E498</f>
        <v>0</v>
      </c>
    </row>
    <row r="499" spans="1:12" x14ac:dyDescent="0.2">
      <c r="A499" s="1309"/>
      <c r="B499" s="59" t="s">
        <v>8</v>
      </c>
      <c r="C499" s="43"/>
      <c r="D499" s="43"/>
      <c r="E499" s="44"/>
      <c r="F499" s="70"/>
      <c r="G499" s="70"/>
      <c r="H499" s="46"/>
      <c r="I499" s="46"/>
      <c r="J499" s="46"/>
      <c r="K499" s="195">
        <f>K495+K496+K497+K498</f>
        <v>0</v>
      </c>
    </row>
    <row r="500" spans="1:12" ht="12.75" hidden="1" customHeight="1" x14ac:dyDescent="0.2">
      <c r="A500" s="1309"/>
      <c r="B500" s="440" t="s">
        <v>142</v>
      </c>
      <c r="C500" s="441">
        <v>38941573</v>
      </c>
      <c r="D500" s="441">
        <v>36000</v>
      </c>
      <c r="E500" s="442">
        <v>1</v>
      </c>
      <c r="F500" s="443">
        <v>3409.2478000000001</v>
      </c>
      <c r="G500" s="443">
        <v>3409.2478000000001</v>
      </c>
      <c r="H500" s="444">
        <f t="shared" si="47"/>
        <v>0</v>
      </c>
      <c r="I500" s="444"/>
      <c r="J500" s="444"/>
      <c r="K500" s="445">
        <f>(G500-F500)*D500*E500</f>
        <v>0</v>
      </c>
    </row>
    <row r="501" spans="1:12" ht="12.75" hidden="1" customHeight="1" x14ac:dyDescent="0.2">
      <c r="A501" s="1309"/>
      <c r="B501" s="440" t="s">
        <v>143</v>
      </c>
      <c r="C501" s="441">
        <v>38941575</v>
      </c>
      <c r="D501" s="441">
        <v>36000</v>
      </c>
      <c r="E501" s="442">
        <v>1</v>
      </c>
      <c r="F501" s="443">
        <v>3226.3146000000002</v>
      </c>
      <c r="G501" s="443">
        <v>3226.3146000000002</v>
      </c>
      <c r="H501" s="444">
        <f t="shared" si="47"/>
        <v>0</v>
      </c>
      <c r="I501" s="444"/>
      <c r="J501" s="444"/>
      <c r="K501" s="445">
        <f>(G501-F501)*D501*E501</f>
        <v>0</v>
      </c>
    </row>
    <row r="502" spans="1:12" x14ac:dyDescent="0.2">
      <c r="A502" s="1309"/>
      <c r="B502" s="42" t="s">
        <v>607</v>
      </c>
      <c r="C502" s="43">
        <v>38941573</v>
      </c>
      <c r="D502" s="43">
        <v>36000</v>
      </c>
      <c r="E502" s="44">
        <v>1</v>
      </c>
      <c r="F502" s="524">
        <v>12.665900000000001</v>
      </c>
      <c r="G502" s="524">
        <v>12.8947</v>
      </c>
      <c r="H502" s="46">
        <f t="shared" si="47"/>
        <v>0.22879999999999967</v>
      </c>
      <c r="I502" s="46"/>
      <c r="J502" s="46"/>
      <c r="K502" s="194">
        <f>(G502-F502)*D502*E502</f>
        <v>8236.7999999999884</v>
      </c>
    </row>
    <row r="503" spans="1:12" x14ac:dyDescent="0.2">
      <c r="A503" s="1309"/>
      <c r="B503" s="42" t="s">
        <v>608</v>
      </c>
      <c r="C503" s="43">
        <v>38941575</v>
      </c>
      <c r="D503" s="43">
        <v>36000</v>
      </c>
      <c r="E503" s="44">
        <v>1</v>
      </c>
      <c r="F503" s="524">
        <v>7.3616999999999999</v>
      </c>
      <c r="G503" s="524">
        <v>7.3616999999999999</v>
      </c>
      <c r="H503" s="46">
        <f t="shared" si="47"/>
        <v>0</v>
      </c>
      <c r="I503" s="46"/>
      <c r="J503" s="46"/>
      <c r="K503" s="194">
        <f>(G503-F503)*D503*E503</f>
        <v>0</v>
      </c>
    </row>
    <row r="504" spans="1:12" x14ac:dyDescent="0.2">
      <c r="A504" s="1309"/>
      <c r="B504" s="59" t="s">
        <v>52</v>
      </c>
      <c r="C504" s="43"/>
      <c r="D504" s="43"/>
      <c r="E504" s="44"/>
      <c r="F504" s="70"/>
      <c r="G504" s="70"/>
      <c r="H504" s="46"/>
      <c r="I504" s="46"/>
      <c r="J504" s="46"/>
      <c r="K504" s="195">
        <f>K502+K503</f>
        <v>8236.7999999999884</v>
      </c>
    </row>
    <row r="505" spans="1:12" s="4" customFormat="1" x14ac:dyDescent="0.2">
      <c r="A505" s="1309"/>
      <c r="B505" s="61" t="s">
        <v>144</v>
      </c>
      <c r="C505" s="62"/>
      <c r="D505" s="62"/>
      <c r="E505" s="63"/>
      <c r="F505" s="64"/>
      <c r="G505" s="64"/>
      <c r="H505" s="65"/>
      <c r="I505" s="66"/>
      <c r="J505" s="66"/>
      <c r="K505" s="1238">
        <f>K499-K504</f>
        <v>-8236.7999999999884</v>
      </c>
      <c r="L505" s="896">
        <v>10</v>
      </c>
    </row>
    <row r="506" spans="1:12" x14ac:dyDescent="0.2">
      <c r="A506" s="1309"/>
      <c r="B506" s="42" t="s">
        <v>145</v>
      </c>
      <c r="C506" s="43">
        <v>8483272</v>
      </c>
      <c r="D506" s="43">
        <v>36000</v>
      </c>
      <c r="E506" s="44">
        <v>1</v>
      </c>
      <c r="F506" s="521">
        <v>57777.1679</v>
      </c>
      <c r="G506" s="521">
        <v>57777.1679</v>
      </c>
      <c r="H506" s="87">
        <f t="shared" ref="H506:H523" si="48">G506-F506</f>
        <v>0</v>
      </c>
      <c r="I506" s="46"/>
      <c r="J506" s="46"/>
      <c r="K506" s="194">
        <f>(G506-F506)*D506*E506</f>
        <v>0</v>
      </c>
    </row>
    <row r="507" spans="1:12" x14ac:dyDescent="0.2">
      <c r="A507" s="1309"/>
      <c r="B507" s="42" t="s">
        <v>146</v>
      </c>
      <c r="C507" s="43">
        <v>8483272</v>
      </c>
      <c r="D507" s="43">
        <v>36000</v>
      </c>
      <c r="E507" s="44">
        <v>1</v>
      </c>
      <c r="F507" s="525">
        <v>13.742075</v>
      </c>
      <c r="G507" s="525">
        <v>13.742075</v>
      </c>
      <c r="H507" s="87">
        <f t="shared" si="48"/>
        <v>0</v>
      </c>
      <c r="I507" s="46"/>
      <c r="J507" s="46"/>
      <c r="K507" s="194">
        <f>(G507-F507)*D507*E507</f>
        <v>0</v>
      </c>
    </row>
    <row r="508" spans="1:12" s="4" customFormat="1" x14ac:dyDescent="0.2">
      <c r="A508" s="1309"/>
      <c r="B508" s="61" t="s">
        <v>147</v>
      </c>
      <c r="C508" s="62"/>
      <c r="D508" s="62"/>
      <c r="E508" s="63">
        <v>1</v>
      </c>
      <c r="F508" s="64"/>
      <c r="G508" s="64"/>
      <c r="H508" s="90"/>
      <c r="I508" s="66"/>
      <c r="J508" s="66"/>
      <c r="K508" s="1241">
        <f>K506-K507</f>
        <v>0</v>
      </c>
      <c r="L508" s="1212">
        <v>11</v>
      </c>
    </row>
    <row r="509" spans="1:12" ht="12.75" hidden="1" customHeight="1" x14ac:dyDescent="0.2">
      <c r="A509" s="1309"/>
      <c r="B509" s="366" t="s">
        <v>395</v>
      </c>
      <c r="C509" s="85">
        <v>342904711</v>
      </c>
      <c r="D509" s="136">
        <v>1</v>
      </c>
      <c r="E509" s="44">
        <v>1</v>
      </c>
      <c r="F509" s="52">
        <v>54166144</v>
      </c>
      <c r="G509" s="52">
        <v>54166144</v>
      </c>
      <c r="H509" s="87">
        <f t="shared" si="48"/>
        <v>0</v>
      </c>
      <c r="I509" s="46"/>
      <c r="J509" s="46"/>
      <c r="K509" s="194">
        <f>(G509-F509)*D509*E509</f>
        <v>0</v>
      </c>
    </row>
    <row r="510" spans="1:12" ht="12.75" hidden="1" customHeight="1" x14ac:dyDescent="0.2">
      <c r="A510" s="1309"/>
      <c r="B510" s="366" t="s">
        <v>396</v>
      </c>
      <c r="C510" s="85">
        <v>342904711</v>
      </c>
      <c r="D510" s="136">
        <v>1</v>
      </c>
      <c r="E510" s="44">
        <v>1</v>
      </c>
      <c r="F510" s="70">
        <v>354332</v>
      </c>
      <c r="G510" s="70">
        <v>354332</v>
      </c>
      <c r="H510" s="87">
        <f t="shared" si="48"/>
        <v>0</v>
      </c>
      <c r="I510" s="46"/>
      <c r="J510" s="46"/>
      <c r="K510" s="194">
        <f>(G510-F510)*D510*E510</f>
        <v>0</v>
      </c>
    </row>
    <row r="511" spans="1:12" s="4" customFormat="1" ht="12.75" hidden="1" customHeight="1" x14ac:dyDescent="0.2">
      <c r="A511" s="1309"/>
      <c r="B511" s="137" t="s">
        <v>148</v>
      </c>
      <c r="C511" s="62"/>
      <c r="D511" s="109"/>
      <c r="E511" s="63"/>
      <c r="F511" s="64"/>
      <c r="G511" s="64"/>
      <c r="H511" s="90"/>
      <c r="I511" s="66"/>
      <c r="J511" s="66"/>
      <c r="K511" s="578">
        <f>K509-K510</f>
        <v>0</v>
      </c>
      <c r="L511" s="896"/>
    </row>
    <row r="512" spans="1:12" ht="12.75" hidden="1" customHeight="1" x14ac:dyDescent="0.2">
      <c r="A512" s="1309"/>
      <c r="B512" s="489" t="s">
        <v>344</v>
      </c>
      <c r="C512" s="409">
        <v>13176582</v>
      </c>
      <c r="D512" s="409">
        <v>627272.72719999996</v>
      </c>
      <c r="E512" s="486">
        <v>1</v>
      </c>
      <c r="F512" s="411">
        <v>36.898474999999998</v>
      </c>
      <c r="G512" s="411">
        <v>36.898474999999998</v>
      </c>
      <c r="H512" s="412">
        <f t="shared" si="48"/>
        <v>0</v>
      </c>
      <c r="I512" s="487"/>
      <c r="J512" s="487"/>
      <c r="K512" s="413">
        <f>(G512-F512)*D512*E512</f>
        <v>0</v>
      </c>
    </row>
    <row r="513" spans="1:12" ht="12.75" hidden="1" customHeight="1" x14ac:dyDescent="0.2">
      <c r="A513" s="1309"/>
      <c r="B513" s="489" t="s">
        <v>345</v>
      </c>
      <c r="C513" s="409">
        <v>13176582</v>
      </c>
      <c r="D513" s="409">
        <v>627272.72719999996</v>
      </c>
      <c r="E513" s="486">
        <v>1</v>
      </c>
      <c r="F513" s="411">
        <v>1.3925E-2</v>
      </c>
      <c r="G513" s="411">
        <v>1.3925E-2</v>
      </c>
      <c r="H513" s="412">
        <f t="shared" si="48"/>
        <v>0</v>
      </c>
      <c r="I513" s="487"/>
      <c r="J513" s="487"/>
      <c r="K513" s="413">
        <f>(G513-F513)*D513*E513</f>
        <v>0</v>
      </c>
    </row>
    <row r="514" spans="1:12" x14ac:dyDescent="0.2">
      <c r="A514" s="1309"/>
      <c r="B514" s="1090" t="s">
        <v>150</v>
      </c>
      <c r="C514" s="1091">
        <v>12568060</v>
      </c>
      <c r="D514" s="1100">
        <v>522727.272</v>
      </c>
      <c r="E514" s="1092">
        <v>1</v>
      </c>
      <c r="F514" s="1093">
        <v>4159.35185</v>
      </c>
      <c r="G514" s="1093">
        <v>4159.35185</v>
      </c>
      <c r="H514" s="1094">
        <f>G514-F514</f>
        <v>0</v>
      </c>
      <c r="I514" s="1094"/>
      <c r="J514" s="1094"/>
      <c r="K514" s="1095">
        <f>(G514-F514)*D514*E514</f>
        <v>0</v>
      </c>
    </row>
    <row r="515" spans="1:12" x14ac:dyDescent="0.2">
      <c r="A515" s="1309"/>
      <c r="B515" s="1090" t="s">
        <v>151</v>
      </c>
      <c r="C515" s="1091">
        <v>12568060</v>
      </c>
      <c r="D515" s="1100">
        <v>522727.272</v>
      </c>
      <c r="E515" s="1092">
        <v>1</v>
      </c>
      <c r="F515" s="1101">
        <v>0.58925000000000005</v>
      </c>
      <c r="G515" s="1101">
        <v>0.58925000000000005</v>
      </c>
      <c r="H515" s="1094">
        <f>G515-F515</f>
        <v>0</v>
      </c>
      <c r="I515" s="1094"/>
      <c r="J515" s="1094"/>
      <c r="K515" s="1095">
        <f>(G515-F515)*D515*E515</f>
        <v>0</v>
      </c>
    </row>
    <row r="516" spans="1:12" s="4" customFormat="1" x14ac:dyDescent="0.2">
      <c r="A516" s="1309"/>
      <c r="B516" s="1096" t="s">
        <v>152</v>
      </c>
      <c r="C516" s="1097"/>
      <c r="D516" s="1097"/>
      <c r="E516" s="1092"/>
      <c r="F516" s="1098"/>
      <c r="G516" s="1098"/>
      <c r="H516" s="1094"/>
      <c r="I516" s="1094"/>
      <c r="J516" s="1094"/>
      <c r="K516" s="1099">
        <f>K514-K515</f>
        <v>0</v>
      </c>
      <c r="L516" s="896">
        <v>12</v>
      </c>
    </row>
    <row r="517" spans="1:12" x14ac:dyDescent="0.2">
      <c r="A517" s="1309"/>
      <c r="B517" s="135" t="s">
        <v>540</v>
      </c>
      <c r="C517" s="78">
        <v>13176582</v>
      </c>
      <c r="D517" s="78">
        <v>627272.72699999996</v>
      </c>
      <c r="E517" s="55">
        <v>1</v>
      </c>
      <c r="F517" s="521">
        <v>3917.8520749999998</v>
      </c>
      <c r="G517" s="521">
        <v>3967.6893249999998</v>
      </c>
      <c r="H517" s="81">
        <f t="shared" si="48"/>
        <v>49.83725000000004</v>
      </c>
      <c r="I517" s="57"/>
      <c r="J517" s="57"/>
      <c r="K517" s="198">
        <f>(G517-F517)*D517*E517</f>
        <v>31261547.713680774</v>
      </c>
    </row>
    <row r="518" spans="1:12" x14ac:dyDescent="0.2">
      <c r="A518" s="1309"/>
      <c r="B518" s="135" t="s">
        <v>541</v>
      </c>
      <c r="C518" s="78">
        <v>13176582</v>
      </c>
      <c r="D518" s="78">
        <v>627272.72699999996</v>
      </c>
      <c r="E518" s="55">
        <v>1</v>
      </c>
      <c r="F518" s="521">
        <v>0.56332499999999996</v>
      </c>
      <c r="G518" s="521">
        <v>0.56715000000000004</v>
      </c>
      <c r="H518" s="370">
        <f t="shared" si="48"/>
        <v>3.8250000000000783E-3</v>
      </c>
      <c r="I518" s="57"/>
      <c r="J518" s="57"/>
      <c r="K518" s="198">
        <f>(G518-F518)*D518*E518</f>
        <v>2399.3181807750489</v>
      </c>
    </row>
    <row r="519" spans="1:12" x14ac:dyDescent="0.2">
      <c r="A519" s="1309"/>
      <c r="B519" s="363" t="s">
        <v>542</v>
      </c>
      <c r="C519" s="78"/>
      <c r="D519" s="78"/>
      <c r="E519" s="55"/>
      <c r="F519" s="80"/>
      <c r="G519" s="80"/>
      <c r="H519" s="81"/>
      <c r="I519" s="57"/>
      <c r="J519" s="57"/>
      <c r="K519" s="202">
        <f>K512+K517</f>
        <v>31261547.713680774</v>
      </c>
    </row>
    <row r="520" spans="1:12" x14ac:dyDescent="0.2">
      <c r="A520" s="1309"/>
      <c r="B520" s="363" t="s">
        <v>368</v>
      </c>
      <c r="C520" s="78"/>
      <c r="D520" s="78"/>
      <c r="E520" s="55"/>
      <c r="F520" s="80"/>
      <c r="G520" s="80"/>
      <c r="H520" s="81"/>
      <c r="I520" s="57"/>
      <c r="J520" s="57"/>
      <c r="K520" s="202">
        <f>K513+K518</f>
        <v>2399.3181807750489</v>
      </c>
    </row>
    <row r="521" spans="1:12" s="4" customFormat="1" x14ac:dyDescent="0.2">
      <c r="A521" s="1309"/>
      <c r="B521" s="137" t="s">
        <v>346</v>
      </c>
      <c r="C521" s="62"/>
      <c r="D521" s="62"/>
      <c r="E521" s="63"/>
      <c r="F521" s="64"/>
      <c r="G521" s="64"/>
      <c r="H521" s="90"/>
      <c r="I521" s="66"/>
      <c r="J521" s="66"/>
      <c r="K521" s="1238">
        <f>K519-K520</f>
        <v>31259148.395500001</v>
      </c>
      <c r="L521" s="896">
        <v>13</v>
      </c>
    </row>
    <row r="522" spans="1:12" ht="12.75" hidden="1" customHeight="1" x14ac:dyDescent="0.2">
      <c r="A522" s="1309"/>
      <c r="B522" s="489" t="s">
        <v>397</v>
      </c>
      <c r="C522" s="409">
        <v>342904711</v>
      </c>
      <c r="D522" s="599">
        <v>1</v>
      </c>
      <c r="E522" s="486">
        <v>1</v>
      </c>
      <c r="F522" s="600">
        <v>87546856</v>
      </c>
      <c r="G522" s="600">
        <v>87546856</v>
      </c>
      <c r="H522" s="412">
        <f t="shared" si="48"/>
        <v>0</v>
      </c>
      <c r="I522" s="487"/>
      <c r="J522" s="487"/>
      <c r="K522" s="488">
        <f>(G522-F522)*D522*E522</f>
        <v>0</v>
      </c>
    </row>
    <row r="523" spans="1:12" ht="12.75" hidden="1" customHeight="1" x14ac:dyDescent="0.2">
      <c r="A523" s="1309"/>
      <c r="B523" s="489" t="s">
        <v>398</v>
      </c>
      <c r="C523" s="409">
        <v>342904711</v>
      </c>
      <c r="D523" s="599">
        <v>1</v>
      </c>
      <c r="E523" s="486">
        <v>1</v>
      </c>
      <c r="F523" s="601">
        <v>847160</v>
      </c>
      <c r="G523" s="601">
        <v>847160</v>
      </c>
      <c r="H523" s="412">
        <f t="shared" si="48"/>
        <v>0</v>
      </c>
      <c r="I523" s="487"/>
      <c r="J523" s="487"/>
      <c r="K523" s="488">
        <f>(G523-F523)*D523*E523</f>
        <v>0</v>
      </c>
    </row>
    <row r="524" spans="1:12" s="4" customFormat="1" ht="12.75" hidden="1" customHeight="1" x14ac:dyDescent="0.2">
      <c r="A524" s="1309"/>
      <c r="B524" s="137" t="s">
        <v>149</v>
      </c>
      <c r="C524" s="62"/>
      <c r="D524" s="62"/>
      <c r="E524" s="63"/>
      <c r="F524" s="64"/>
      <c r="G524" s="64"/>
      <c r="H524" s="90"/>
      <c r="I524" s="66"/>
      <c r="J524" s="66"/>
      <c r="K524" s="364">
        <f>K522-K523</f>
        <v>0</v>
      </c>
      <c r="L524" s="896"/>
    </row>
    <row r="525" spans="1:12" ht="12.75" hidden="1" customHeight="1" x14ac:dyDescent="0.2">
      <c r="A525" s="1309"/>
      <c r="B525" s="490" t="s">
        <v>153</v>
      </c>
      <c r="C525" s="409">
        <v>208176740</v>
      </c>
      <c r="D525" s="485">
        <v>480000</v>
      </c>
      <c r="E525" s="486">
        <v>1</v>
      </c>
      <c r="F525" s="411">
        <v>1047.319</v>
      </c>
      <c r="G525" s="411">
        <v>1047.319</v>
      </c>
      <c r="H525" s="412">
        <f>G525-F525</f>
        <v>0</v>
      </c>
      <c r="I525" s="487"/>
      <c r="J525" s="487"/>
      <c r="K525" s="488">
        <f>(G525-F525)*D525*E525</f>
        <v>0</v>
      </c>
    </row>
    <row r="526" spans="1:12" ht="12.75" hidden="1" customHeight="1" x14ac:dyDescent="0.2">
      <c r="A526" s="1309"/>
      <c r="B526" s="490" t="s">
        <v>154</v>
      </c>
      <c r="C526" s="409">
        <v>208176740</v>
      </c>
      <c r="D526" s="485">
        <v>480000</v>
      </c>
      <c r="E526" s="486">
        <v>1</v>
      </c>
      <c r="F526" s="411">
        <v>11.374000000000001</v>
      </c>
      <c r="G526" s="411">
        <v>11.374000000000001</v>
      </c>
      <c r="H526" s="412">
        <f>G526-F526</f>
        <v>0</v>
      </c>
      <c r="I526" s="487"/>
      <c r="J526" s="487"/>
      <c r="K526" s="488">
        <f>(G526-F526)*D526*E526</f>
        <v>0</v>
      </c>
    </row>
    <row r="527" spans="1:12" x14ac:dyDescent="0.2">
      <c r="A527" s="1309"/>
      <c r="B527" s="426" t="s">
        <v>693</v>
      </c>
      <c r="C527" s="78">
        <v>38992584</v>
      </c>
      <c r="D527" s="78">
        <v>1672727.273</v>
      </c>
      <c r="E527" s="79">
        <v>1</v>
      </c>
      <c r="F527" s="521">
        <v>1583.9641999999999</v>
      </c>
      <c r="G527" s="521">
        <v>1596.9630999999999</v>
      </c>
      <c r="H527" s="80">
        <f>G527-F527</f>
        <v>12.998900000000049</v>
      </c>
      <c r="I527" s="57"/>
      <c r="J527" s="57"/>
      <c r="K527" s="429">
        <f>(G527-F527)*D527*E527</f>
        <v>21743614.548999783</v>
      </c>
    </row>
    <row r="528" spans="1:12" x14ac:dyDescent="0.2">
      <c r="A528" s="1309"/>
      <c r="B528" s="426" t="s">
        <v>694</v>
      </c>
      <c r="C528" s="78">
        <v>38992584</v>
      </c>
      <c r="D528" s="78">
        <v>1672727.273</v>
      </c>
      <c r="E528" s="79">
        <v>1</v>
      </c>
      <c r="F528" s="521">
        <v>6.1779000000000002</v>
      </c>
      <c r="G528" s="521">
        <v>6.3391999999999999</v>
      </c>
      <c r="H528" s="80">
        <f>G528-F528</f>
        <v>0.16129999999999978</v>
      </c>
      <c r="I528" s="57"/>
      <c r="J528" s="57"/>
      <c r="K528" s="429">
        <f>(G528-F528)*D528*E528</f>
        <v>269810.90913489962</v>
      </c>
    </row>
    <row r="529" spans="1:12" x14ac:dyDescent="0.2">
      <c r="A529" s="1309"/>
      <c r="B529" s="428" t="s">
        <v>695</v>
      </c>
      <c r="C529" s="62"/>
      <c r="D529" s="62"/>
      <c r="E529" s="63"/>
      <c r="F529" s="64"/>
      <c r="G529" s="64"/>
      <c r="H529" s="64"/>
      <c r="I529" s="66"/>
      <c r="J529" s="66"/>
      <c r="K529" s="1238">
        <f>K527-K528</f>
        <v>21473803.639864884</v>
      </c>
      <c r="L529" s="749">
        <v>14</v>
      </c>
    </row>
    <row r="530" spans="1:12" ht="15.6" customHeight="1" x14ac:dyDescent="0.2">
      <c r="A530" s="1309"/>
      <c r="B530" s="135" t="s">
        <v>1100</v>
      </c>
      <c r="C530" s="85">
        <v>214596390</v>
      </c>
      <c r="D530" s="85">
        <v>480000</v>
      </c>
      <c r="E530" s="86">
        <v>1</v>
      </c>
      <c r="F530" s="521">
        <v>2864.99152</v>
      </c>
      <c r="G530" s="521">
        <v>2900.14084</v>
      </c>
      <c r="H530" s="52">
        <f>G530-F530</f>
        <v>35.149319999999989</v>
      </c>
      <c r="I530" s="87"/>
      <c r="J530" s="87"/>
      <c r="K530" s="200">
        <f>(G530-F530)*D530*E530</f>
        <v>16871673.599999994</v>
      </c>
    </row>
    <row r="531" spans="1:12" ht="13.9" customHeight="1" x14ac:dyDescent="0.2">
      <c r="A531" s="1309"/>
      <c r="B531" s="135" t="s">
        <v>1101</v>
      </c>
      <c r="C531" s="85">
        <v>214596390</v>
      </c>
      <c r="D531" s="85">
        <v>480000</v>
      </c>
      <c r="E531" s="86">
        <v>1</v>
      </c>
      <c r="F531" s="521">
        <v>8.1387499999999999</v>
      </c>
      <c r="G531" s="521">
        <v>8.1919699999999995</v>
      </c>
      <c r="H531" s="52">
        <f>G531-F531</f>
        <v>5.3219999999999601E-2</v>
      </c>
      <c r="I531" s="87"/>
      <c r="J531" s="87"/>
      <c r="K531" s="200">
        <f>(G531-F531)*D531*E531</f>
        <v>25545.599999999809</v>
      </c>
    </row>
    <row r="532" spans="1:12" x14ac:dyDescent="0.2">
      <c r="A532" s="1309"/>
      <c r="B532" s="140" t="s">
        <v>406</v>
      </c>
      <c r="C532" s="62"/>
      <c r="D532" s="62"/>
      <c r="E532" s="63"/>
      <c r="F532" s="64"/>
      <c r="G532" s="64"/>
      <c r="H532" s="64"/>
      <c r="I532" s="66"/>
      <c r="J532" s="66"/>
      <c r="K532" s="1238">
        <f>K530-K531</f>
        <v>16846127.999999993</v>
      </c>
      <c r="L532" s="749">
        <v>15</v>
      </c>
    </row>
    <row r="533" spans="1:12" x14ac:dyDescent="0.2">
      <c r="A533" s="1309"/>
      <c r="B533" s="135" t="s">
        <v>641</v>
      </c>
      <c r="C533" s="85">
        <v>38992496</v>
      </c>
      <c r="D533" s="85">
        <v>480000</v>
      </c>
      <c r="E533" s="86">
        <v>1</v>
      </c>
      <c r="F533" s="521">
        <v>1306.2969000000001</v>
      </c>
      <c r="G533" s="521">
        <v>1341.3843999999999</v>
      </c>
      <c r="H533" s="87">
        <f>G533-F533</f>
        <v>35.087499999999864</v>
      </c>
      <c r="I533" s="46"/>
      <c r="J533" s="46"/>
      <c r="K533" s="194">
        <f>(G533-F533)*D533*E533</f>
        <v>16841999.999999933</v>
      </c>
    </row>
    <row r="534" spans="1:12" x14ac:dyDescent="0.2">
      <c r="A534" s="1309"/>
      <c r="B534" s="135" t="s">
        <v>642</v>
      </c>
      <c r="C534" s="85">
        <v>38992496</v>
      </c>
      <c r="D534" s="85">
        <v>480000</v>
      </c>
      <c r="E534" s="86">
        <v>1</v>
      </c>
      <c r="F534" s="521">
        <v>11.857200000000001</v>
      </c>
      <c r="G534" s="521">
        <v>11.940899999999999</v>
      </c>
      <c r="H534" s="87">
        <f>G534-F534</f>
        <v>8.3699999999998553E-2</v>
      </c>
      <c r="I534" s="46"/>
      <c r="J534" s="46"/>
      <c r="K534" s="194">
        <f>(G534-F534)*D534*E534</f>
        <v>40175.999999999309</v>
      </c>
    </row>
    <row r="535" spans="1:12" x14ac:dyDescent="0.2">
      <c r="A535" s="1309"/>
      <c r="B535" s="363" t="s">
        <v>367</v>
      </c>
      <c r="C535" s="85"/>
      <c r="D535" s="85"/>
      <c r="E535" s="86"/>
      <c r="F535" s="403"/>
      <c r="G535" s="80"/>
      <c r="H535" s="87"/>
      <c r="I535" s="46"/>
      <c r="J535" s="46"/>
      <c r="K535" s="195">
        <f>K525+K533</f>
        <v>16841999.999999933</v>
      </c>
    </row>
    <row r="536" spans="1:12" x14ac:dyDescent="0.2">
      <c r="A536" s="1309"/>
      <c r="B536" s="363" t="s">
        <v>368</v>
      </c>
      <c r="C536" s="85"/>
      <c r="D536" s="85"/>
      <c r="E536" s="86"/>
      <c r="F536" s="403"/>
      <c r="G536" s="80"/>
      <c r="H536" s="87"/>
      <c r="I536" s="46"/>
      <c r="J536" s="46"/>
      <c r="K536" s="195">
        <f>K526+K534</f>
        <v>40175.999999999309</v>
      </c>
    </row>
    <row r="537" spans="1:12" s="4" customFormat="1" x14ac:dyDescent="0.2">
      <c r="A537" s="1309"/>
      <c r="B537" s="137" t="s">
        <v>155</v>
      </c>
      <c r="C537" s="62"/>
      <c r="D537" s="62"/>
      <c r="E537" s="63"/>
      <c r="F537" s="64"/>
      <c r="G537" s="64"/>
      <c r="H537" s="90"/>
      <c r="I537" s="66"/>
      <c r="J537" s="66"/>
      <c r="K537" s="1241">
        <f>K535-K536</f>
        <v>16801823.999999933</v>
      </c>
      <c r="L537" s="896">
        <v>16</v>
      </c>
    </row>
    <row r="538" spans="1:12" x14ac:dyDescent="0.2">
      <c r="A538" s="1309"/>
      <c r="B538" s="426" t="s">
        <v>685</v>
      </c>
      <c r="C538" s="78">
        <v>42334978</v>
      </c>
      <c r="D538" s="78">
        <v>480000</v>
      </c>
      <c r="E538" s="79">
        <v>1</v>
      </c>
      <c r="F538" s="521">
        <v>1999.8360700000001</v>
      </c>
      <c r="G538" s="521">
        <v>2046.2312899999999</v>
      </c>
      <c r="H538" s="80">
        <f t="shared" ref="H538:H550" si="49">G538-F538</f>
        <v>46.395219999999881</v>
      </c>
      <c r="I538" s="57"/>
      <c r="J538" s="57"/>
      <c r="K538" s="431">
        <f>(G538-F538)*D538*E538</f>
        <v>22269705.599999942</v>
      </c>
    </row>
    <row r="539" spans="1:12" x14ac:dyDescent="0.2">
      <c r="A539" s="1309"/>
      <c r="B539" s="426" t="s">
        <v>686</v>
      </c>
      <c r="C539" s="78">
        <v>42334978</v>
      </c>
      <c r="D539" s="78">
        <v>480000</v>
      </c>
      <c r="E539" s="79">
        <v>1</v>
      </c>
      <c r="F539" s="521">
        <v>9.2272200000000009</v>
      </c>
      <c r="G539" s="521">
        <v>9.2405799999999996</v>
      </c>
      <c r="H539" s="80">
        <f t="shared" si="49"/>
        <v>1.3359999999998706E-2</v>
      </c>
      <c r="I539" s="57"/>
      <c r="J539" s="57"/>
      <c r="K539" s="431">
        <f t="shared" ref="K539:K545" si="50">(G539-F539)*D539*E539</f>
        <v>6412.799999999379</v>
      </c>
    </row>
    <row r="540" spans="1:12" x14ac:dyDescent="0.2">
      <c r="A540" s="1309"/>
      <c r="B540" s="426" t="s">
        <v>687</v>
      </c>
      <c r="C540" s="78">
        <v>42334962</v>
      </c>
      <c r="D540" s="78">
        <v>480000</v>
      </c>
      <c r="E540" s="79">
        <v>1</v>
      </c>
      <c r="F540" s="521">
        <v>1916.2907600000001</v>
      </c>
      <c r="G540" s="521">
        <v>1961.07566</v>
      </c>
      <c r="H540" s="80">
        <f t="shared" si="49"/>
        <v>44.78489999999988</v>
      </c>
      <c r="I540" s="57"/>
      <c r="J540" s="57"/>
      <c r="K540" s="431">
        <f t="shared" si="50"/>
        <v>21496751.99999994</v>
      </c>
    </row>
    <row r="541" spans="1:12" x14ac:dyDescent="0.2">
      <c r="A541" s="1309"/>
      <c r="B541" s="426" t="s">
        <v>688</v>
      </c>
      <c r="C541" s="78">
        <v>42334962</v>
      </c>
      <c r="D541" s="78">
        <v>480000</v>
      </c>
      <c r="E541" s="79">
        <v>1</v>
      </c>
      <c r="F541" s="521">
        <v>5.5230600000000001</v>
      </c>
      <c r="G541" s="521">
        <v>5.54087</v>
      </c>
      <c r="H541" s="80">
        <f t="shared" si="49"/>
        <v>1.7809999999999881E-2</v>
      </c>
      <c r="I541" s="57"/>
      <c r="J541" s="57"/>
      <c r="K541" s="431">
        <f t="shared" si="50"/>
        <v>8548.7999999999429</v>
      </c>
    </row>
    <row r="542" spans="1:12" x14ac:dyDescent="0.2">
      <c r="A542" s="1309"/>
      <c r="B542" s="426" t="s">
        <v>689</v>
      </c>
      <c r="C542" s="78">
        <v>42334961</v>
      </c>
      <c r="D542" s="78">
        <v>480000</v>
      </c>
      <c r="E542" s="79">
        <v>1</v>
      </c>
      <c r="F542" s="521">
        <v>1622.0545300000001</v>
      </c>
      <c r="G542" s="521">
        <v>1677.72111</v>
      </c>
      <c r="H542" s="80">
        <f t="shared" si="49"/>
        <v>55.66657999999984</v>
      </c>
      <c r="I542" s="57"/>
      <c r="J542" s="57"/>
      <c r="K542" s="431">
        <f t="shared" si="50"/>
        <v>26719958.399999924</v>
      </c>
    </row>
    <row r="543" spans="1:12" x14ac:dyDescent="0.2">
      <c r="A543" s="1309"/>
      <c r="B543" s="426" t="s">
        <v>690</v>
      </c>
      <c r="C543" s="78">
        <v>42334961</v>
      </c>
      <c r="D543" s="78">
        <v>480000</v>
      </c>
      <c r="E543" s="79">
        <v>1</v>
      </c>
      <c r="F543" s="521">
        <v>8.1780899999999992</v>
      </c>
      <c r="G543" s="521">
        <v>8.1954200000000004</v>
      </c>
      <c r="H543" s="80">
        <f t="shared" si="49"/>
        <v>1.7330000000001178E-2</v>
      </c>
      <c r="I543" s="57"/>
      <c r="J543" s="57"/>
      <c r="K543" s="431">
        <f t="shared" si="50"/>
        <v>8318.4000000005653</v>
      </c>
    </row>
    <row r="544" spans="1:12" x14ac:dyDescent="0.2">
      <c r="A544" s="1309"/>
      <c r="B544" s="426" t="s">
        <v>691</v>
      </c>
      <c r="C544" s="78">
        <v>42334960</v>
      </c>
      <c r="D544" s="78">
        <v>480000</v>
      </c>
      <c r="E544" s="79">
        <v>1</v>
      </c>
      <c r="F544" s="521">
        <v>1834.89436</v>
      </c>
      <c r="G544" s="521">
        <v>1889.8850500000001</v>
      </c>
      <c r="H544" s="80">
        <f t="shared" si="49"/>
        <v>54.990690000000086</v>
      </c>
      <c r="I544" s="57"/>
      <c r="J544" s="57"/>
      <c r="K544" s="431">
        <f t="shared" si="50"/>
        <v>26395531.20000004</v>
      </c>
    </row>
    <row r="545" spans="1:12" x14ac:dyDescent="0.2">
      <c r="A545" s="1309"/>
      <c r="B545" s="426" t="s">
        <v>692</v>
      </c>
      <c r="C545" s="78">
        <v>42334960</v>
      </c>
      <c r="D545" s="78">
        <v>480000</v>
      </c>
      <c r="E545" s="79">
        <v>1</v>
      </c>
      <c r="F545" s="521">
        <v>7.3625999999999996</v>
      </c>
      <c r="G545" s="521">
        <v>7.3796600000000003</v>
      </c>
      <c r="H545" s="80">
        <f t="shared" si="49"/>
        <v>1.7060000000000741E-2</v>
      </c>
      <c r="I545" s="57"/>
      <c r="J545" s="57"/>
      <c r="K545" s="431">
        <f t="shared" si="50"/>
        <v>8188.8000000003558</v>
      </c>
    </row>
    <row r="546" spans="1:12" x14ac:dyDescent="0.2">
      <c r="A546" s="1309"/>
      <c r="B546" s="427" t="s">
        <v>367</v>
      </c>
      <c r="C546" s="102"/>
      <c r="D546" s="102"/>
      <c r="E546" s="55"/>
      <c r="F546" s="103"/>
      <c r="G546" s="103"/>
      <c r="H546" s="80"/>
      <c r="I546" s="57"/>
      <c r="J546" s="57"/>
      <c r="K546" s="429">
        <f>K538+K540+K542+K544</f>
        <v>96881947.199999839</v>
      </c>
    </row>
    <row r="547" spans="1:12" x14ac:dyDescent="0.2">
      <c r="A547" s="1309"/>
      <c r="B547" s="427" t="s">
        <v>368</v>
      </c>
      <c r="C547" s="102"/>
      <c r="D547" s="102"/>
      <c r="E547" s="55"/>
      <c r="F547" s="423"/>
      <c r="G547" s="103"/>
      <c r="H547" s="80"/>
      <c r="I547" s="57"/>
      <c r="J547" s="57"/>
      <c r="K547" s="429">
        <f>K539+K541+K543+K545</f>
        <v>31468.800000000243</v>
      </c>
    </row>
    <row r="548" spans="1:12" x14ac:dyDescent="0.2">
      <c r="A548" s="1309"/>
      <c r="B548" s="428" t="s">
        <v>1078</v>
      </c>
      <c r="C548" s="62"/>
      <c r="D548" s="62"/>
      <c r="E548" s="63"/>
      <c r="F548" s="64"/>
      <c r="G548" s="64"/>
      <c r="H548" s="111"/>
      <c r="I548" s="66"/>
      <c r="J548" s="66"/>
      <c r="K548" s="1238">
        <f>K546-K547</f>
        <v>96850478.399999842</v>
      </c>
      <c r="L548" s="749">
        <v>17</v>
      </c>
    </row>
    <row r="549" spans="1:12" x14ac:dyDescent="0.2">
      <c r="A549" s="1309"/>
      <c r="B549" s="426" t="s">
        <v>1111</v>
      </c>
      <c r="C549" s="78">
        <v>53475060</v>
      </c>
      <c r="D549" s="78">
        <v>1140000</v>
      </c>
      <c r="E549" s="79">
        <v>1</v>
      </c>
      <c r="F549" s="521">
        <v>1280.6202599999999</v>
      </c>
      <c r="G549" s="521">
        <v>1334.3311100000001</v>
      </c>
      <c r="H549" s="80">
        <f t="shared" si="49"/>
        <v>53.710850000000164</v>
      </c>
      <c r="I549" s="57"/>
      <c r="J549" s="57"/>
      <c r="K549" s="604">
        <f>H549*E549*D549</f>
        <v>61230369.000000186</v>
      </c>
    </row>
    <row r="550" spans="1:12" x14ac:dyDescent="0.2">
      <c r="A550" s="1309"/>
      <c r="B550" s="426" t="s">
        <v>1112</v>
      </c>
      <c r="C550" s="78">
        <v>53475060</v>
      </c>
      <c r="D550" s="78">
        <v>1140000</v>
      </c>
      <c r="E550" s="79">
        <v>1</v>
      </c>
      <c r="F550" s="521">
        <v>3.79074</v>
      </c>
      <c r="G550" s="521">
        <v>3.7919200000000002</v>
      </c>
      <c r="H550" s="80">
        <f t="shared" si="49"/>
        <v>1.1800000000001809E-3</v>
      </c>
      <c r="I550" s="57"/>
      <c r="J550" s="57"/>
      <c r="K550" s="604">
        <f>H550*E550*D550</f>
        <v>1345.2000000002063</v>
      </c>
    </row>
    <row r="551" spans="1:12" x14ac:dyDescent="0.2">
      <c r="A551" s="1309"/>
      <c r="B551" s="140" t="s">
        <v>1113</v>
      </c>
      <c r="C551" s="62"/>
      <c r="D551" s="62"/>
      <c r="E551" s="110"/>
      <c r="F551" s="64"/>
      <c r="G551" s="64"/>
      <c r="H551" s="64"/>
      <c r="I551" s="112"/>
      <c r="J551" s="112"/>
      <c r="K551" s="1238">
        <f>K549-K550</f>
        <v>61229023.800000183</v>
      </c>
      <c r="L551" s="749">
        <v>18</v>
      </c>
    </row>
    <row r="552" spans="1:12" x14ac:dyDescent="0.2">
      <c r="A552" s="1309"/>
      <c r="B552" s="426" t="s">
        <v>1150</v>
      </c>
      <c r="C552" s="78">
        <v>27499100</v>
      </c>
      <c r="D552" s="78">
        <v>840000</v>
      </c>
      <c r="E552" s="79">
        <v>1</v>
      </c>
      <c r="F552" s="521">
        <v>2460.6104700000001</v>
      </c>
      <c r="G552" s="521">
        <v>2475.1127299999998</v>
      </c>
      <c r="H552" s="80">
        <f>G552-F552</f>
        <v>14.502259999999751</v>
      </c>
      <c r="I552" s="57"/>
      <c r="J552" s="57"/>
      <c r="K552" s="604">
        <f>(G552-F552)*D552*E552</f>
        <v>12181898.399999792</v>
      </c>
    </row>
    <row r="553" spans="1:12" x14ac:dyDescent="0.2">
      <c r="A553" s="1309"/>
      <c r="B553" s="426" t="s">
        <v>1151</v>
      </c>
      <c r="C553" s="78">
        <v>27499100</v>
      </c>
      <c r="D553" s="78">
        <v>840000</v>
      </c>
      <c r="E553" s="79">
        <v>1</v>
      </c>
      <c r="F553" s="521">
        <v>2.4868999999999999</v>
      </c>
      <c r="G553" s="521">
        <v>2.48759</v>
      </c>
      <c r="H553" s="80">
        <f>G553-F553</f>
        <v>6.9000000000007944E-4</v>
      </c>
      <c r="I553" s="57"/>
      <c r="J553" s="57"/>
      <c r="K553" s="604">
        <f>(G553-F553)*D553*E553</f>
        <v>579.60000000006676</v>
      </c>
    </row>
    <row r="554" spans="1:12" x14ac:dyDescent="0.2">
      <c r="A554" s="1309"/>
      <c r="B554" s="428" t="s">
        <v>1152</v>
      </c>
      <c r="C554" s="62"/>
      <c r="D554" s="62"/>
      <c r="E554" s="63"/>
      <c r="F554" s="64"/>
      <c r="G554" s="64"/>
      <c r="H554" s="64"/>
      <c r="I554" s="66"/>
      <c r="J554" s="66"/>
      <c r="K554" s="579">
        <f>K552-K553</f>
        <v>12181318.799999792</v>
      </c>
      <c r="L554" s="749">
        <v>19</v>
      </c>
    </row>
    <row r="555" spans="1:12" x14ac:dyDescent="0.2">
      <c r="A555" s="1309"/>
      <c r="B555" s="426" t="s">
        <v>1345</v>
      </c>
      <c r="C555" s="78">
        <v>56786094</v>
      </c>
      <c r="D555" s="78">
        <v>960000</v>
      </c>
      <c r="E555" s="79">
        <v>1</v>
      </c>
      <c r="F555" s="80">
        <v>1372.8706099999999</v>
      </c>
      <c r="G555" s="80">
        <v>1426.21695</v>
      </c>
      <c r="H555" s="80">
        <f>G555-F555</f>
        <v>53.346340000000055</v>
      </c>
      <c r="I555" s="57"/>
      <c r="J555" s="57"/>
      <c r="K555" s="604">
        <f>(G555-F555)*D555*E555</f>
        <v>51212486.400000051</v>
      </c>
    </row>
    <row r="556" spans="1:12" x14ac:dyDescent="0.2">
      <c r="A556" s="1309"/>
      <c r="B556" s="426" t="s">
        <v>1346</v>
      </c>
      <c r="C556" s="78">
        <v>56786094</v>
      </c>
      <c r="D556" s="78">
        <v>960000</v>
      </c>
      <c r="E556" s="79">
        <v>1</v>
      </c>
      <c r="F556" s="80">
        <v>1.2567999999999999</v>
      </c>
      <c r="G556" s="80">
        <v>1.25712</v>
      </c>
      <c r="H556" s="80">
        <f>G556-F556</f>
        <v>3.2000000000009798E-4</v>
      </c>
      <c r="I556" s="57"/>
      <c r="J556" s="57"/>
      <c r="K556" s="604">
        <f>(G556-F556)*D556*E556</f>
        <v>307.20000000009406</v>
      </c>
    </row>
    <row r="557" spans="1:12" x14ac:dyDescent="0.2">
      <c r="A557" s="1309"/>
      <c r="B557" s="428" t="s">
        <v>1347</v>
      </c>
      <c r="C557" s="62"/>
      <c r="D557" s="62"/>
      <c r="E557" s="63"/>
      <c r="F557" s="64"/>
      <c r="G557" s="64"/>
      <c r="H557" s="64"/>
      <c r="I557" s="66"/>
      <c r="J557" s="66"/>
      <c r="K557" s="579">
        <f>K555-K556</f>
        <v>51212179.200000048</v>
      </c>
      <c r="L557" s="749">
        <v>20</v>
      </c>
    </row>
    <row r="558" spans="1:12" x14ac:dyDescent="0.2">
      <c r="A558" s="1309"/>
      <c r="B558" s="135" t="s">
        <v>1630</v>
      </c>
      <c r="C558" s="85">
        <v>5014800</v>
      </c>
      <c r="D558" s="136">
        <v>192000</v>
      </c>
      <c r="E558" s="44">
        <v>1</v>
      </c>
      <c r="F558" s="521">
        <v>20967.931</v>
      </c>
      <c r="G558" s="521">
        <v>21086.116000000002</v>
      </c>
      <c r="H558" s="87">
        <f>G558-F558</f>
        <v>118.18500000000131</v>
      </c>
      <c r="I558" s="46"/>
      <c r="J558" s="46"/>
      <c r="K558" s="194">
        <f>(G558-F558)*D558*E558</f>
        <v>22691520.000000253</v>
      </c>
    </row>
    <row r="559" spans="1:12" x14ac:dyDescent="0.2">
      <c r="A559" s="1309"/>
      <c r="B559" s="135" t="s">
        <v>1631</v>
      </c>
      <c r="C559" s="85">
        <v>5014801</v>
      </c>
      <c r="D559" s="136">
        <v>96000</v>
      </c>
      <c r="E559" s="44">
        <v>1</v>
      </c>
      <c r="F559" s="521">
        <v>8798.6939999999995</v>
      </c>
      <c r="G559" s="521">
        <v>8798.6939999999995</v>
      </c>
      <c r="H559" s="87">
        <f>G559-F559</f>
        <v>0</v>
      </c>
      <c r="I559" s="46"/>
      <c r="J559" s="46"/>
      <c r="K559" s="194">
        <f>(G559-F559)*D559*E559</f>
        <v>0</v>
      </c>
    </row>
    <row r="560" spans="1:12" x14ac:dyDescent="0.2">
      <c r="A560" s="1309"/>
      <c r="B560" s="59" t="s">
        <v>8</v>
      </c>
      <c r="C560" s="51"/>
      <c r="D560" s="136"/>
      <c r="E560" s="44"/>
      <c r="F560" s="70"/>
      <c r="G560" s="70"/>
      <c r="H560" s="53"/>
      <c r="I560" s="46"/>
      <c r="J560" s="46"/>
      <c r="K560" s="195">
        <f>K558+K559</f>
        <v>22691520.000000253</v>
      </c>
    </row>
    <row r="561" spans="1:12" x14ac:dyDescent="0.2">
      <c r="A561" s="1309"/>
      <c r="B561" s="138" t="s">
        <v>299</v>
      </c>
      <c r="C561" s="85">
        <v>5014800</v>
      </c>
      <c r="D561" s="136">
        <v>192000</v>
      </c>
      <c r="E561" s="44">
        <v>1</v>
      </c>
      <c r="F561" s="525">
        <v>27.916</v>
      </c>
      <c r="G561" s="525">
        <v>28.815000000000001</v>
      </c>
      <c r="H561" s="87">
        <f>G561-F561</f>
        <v>0.89900000000000091</v>
      </c>
      <c r="I561" s="46"/>
      <c r="J561" s="46"/>
      <c r="K561" s="194">
        <f>(G561-F561)*D561*E561</f>
        <v>172608.00000000017</v>
      </c>
    </row>
    <row r="562" spans="1:12" x14ac:dyDescent="0.2">
      <c r="A562" s="1309"/>
      <c r="B562" s="138" t="s">
        <v>300</v>
      </c>
      <c r="C562" s="85">
        <v>5014801</v>
      </c>
      <c r="D562" s="136">
        <v>96000</v>
      </c>
      <c r="E562" s="44">
        <v>1</v>
      </c>
      <c r="F562" s="521">
        <v>1087.9079999999999</v>
      </c>
      <c r="G562" s="521">
        <v>1087.9079999999999</v>
      </c>
      <c r="H562" s="87">
        <f>G562-F562</f>
        <v>0</v>
      </c>
      <c r="I562" s="46"/>
      <c r="J562" s="46"/>
      <c r="K562" s="194">
        <f>(G562-F562)*D562*E562</f>
        <v>0</v>
      </c>
    </row>
    <row r="563" spans="1:12" x14ac:dyDescent="0.2">
      <c r="A563" s="1309"/>
      <c r="B563" s="59" t="s">
        <v>52</v>
      </c>
      <c r="C563" s="51"/>
      <c r="D563" s="136"/>
      <c r="E563" s="44"/>
      <c r="F563" s="70"/>
      <c r="G563" s="70"/>
      <c r="H563" s="53"/>
      <c r="I563" s="46"/>
      <c r="J563" s="46"/>
      <c r="K563" s="195">
        <f>K561+K562</f>
        <v>172608.00000000017</v>
      </c>
    </row>
    <row r="564" spans="1:12" s="4" customFormat="1" x14ac:dyDescent="0.2">
      <c r="A564" s="1309"/>
      <c r="B564" s="137" t="s">
        <v>156</v>
      </c>
      <c r="C564" s="62"/>
      <c r="D564" s="62"/>
      <c r="E564" s="63"/>
      <c r="F564" s="121"/>
      <c r="G564" s="121"/>
      <c r="H564" s="65"/>
      <c r="I564" s="66"/>
      <c r="J564" s="66"/>
      <c r="K564" s="576">
        <f>K560-K563</f>
        <v>22518912.000000253</v>
      </c>
      <c r="L564" s="896">
        <v>21</v>
      </c>
    </row>
    <row r="565" spans="1:12" x14ac:dyDescent="0.2">
      <c r="A565" s="1309"/>
      <c r="B565" s="135" t="s">
        <v>1510</v>
      </c>
      <c r="C565" s="78">
        <v>42334967</v>
      </c>
      <c r="D565" s="78">
        <v>180000</v>
      </c>
      <c r="E565" s="79">
        <v>1</v>
      </c>
      <c r="F565" s="68">
        <v>171.15634</v>
      </c>
      <c r="G565" s="68">
        <v>185.97796</v>
      </c>
      <c r="H565" s="87">
        <f>G565-F565</f>
        <v>14.821619999999996</v>
      </c>
      <c r="I565" s="57"/>
      <c r="J565" s="57"/>
      <c r="K565" s="194">
        <f>(G565-F565)*D565*E565</f>
        <v>2667891.5999999992</v>
      </c>
    </row>
    <row r="566" spans="1:12" x14ac:dyDescent="0.2">
      <c r="A566" s="1309"/>
      <c r="B566" s="135" t="s">
        <v>1511</v>
      </c>
      <c r="C566" s="78">
        <v>42334967</v>
      </c>
      <c r="D566" s="78">
        <v>180000</v>
      </c>
      <c r="E566" s="79">
        <v>1</v>
      </c>
      <c r="F566" s="68">
        <v>96.584720000000004</v>
      </c>
      <c r="G566" s="68">
        <v>96.584720000000004</v>
      </c>
      <c r="H566" s="87">
        <f>G566-F566</f>
        <v>0</v>
      </c>
      <c r="I566" s="57"/>
      <c r="J566" s="57"/>
      <c r="K566" s="194">
        <f>(G566-F566)*D566*E566</f>
        <v>0</v>
      </c>
    </row>
    <row r="567" spans="1:12" s="20" customFormat="1" x14ac:dyDescent="0.2">
      <c r="A567" s="1309"/>
      <c r="B567" s="140" t="s">
        <v>1512</v>
      </c>
      <c r="C567" s="62"/>
      <c r="D567" s="62"/>
      <c r="E567" s="63"/>
      <c r="F567" s="190"/>
      <c r="G567" s="190"/>
      <c r="H567" s="65"/>
      <c r="I567" s="66"/>
      <c r="J567" s="66"/>
      <c r="K567" s="576">
        <f>K565-K566</f>
        <v>2667891.5999999992</v>
      </c>
      <c r="L567" s="926">
        <v>22</v>
      </c>
    </row>
    <row r="568" spans="1:12" x14ac:dyDescent="0.2">
      <c r="A568" s="1309"/>
      <c r="B568" s="138" t="s">
        <v>157</v>
      </c>
      <c r="C568" s="85" t="s">
        <v>1264</v>
      </c>
      <c r="D568" s="43">
        <v>370</v>
      </c>
      <c r="E568" s="44">
        <v>1</v>
      </c>
      <c r="F568" s="524">
        <v>9270</v>
      </c>
      <c r="G568" s="524">
        <v>9270</v>
      </c>
      <c r="H568" s="46">
        <f t="shared" ref="H568:H578" si="51">G568-F568</f>
        <v>0</v>
      </c>
      <c r="I568" s="46"/>
      <c r="J568" s="46"/>
      <c r="K568" s="194">
        <f>(G568-F568)*D568*E568</f>
        <v>0</v>
      </c>
    </row>
    <row r="569" spans="1:12" ht="11.25" customHeight="1" x14ac:dyDescent="0.2">
      <c r="A569" s="1309"/>
      <c r="B569" s="138" t="s">
        <v>158</v>
      </c>
      <c r="C569" s="85" t="s">
        <v>1265</v>
      </c>
      <c r="D569" s="43">
        <v>353.24</v>
      </c>
      <c r="E569" s="44">
        <v>1</v>
      </c>
      <c r="F569" s="524">
        <v>6427</v>
      </c>
      <c r="G569" s="524">
        <v>6427</v>
      </c>
      <c r="H569" s="46">
        <f t="shared" si="51"/>
        <v>0</v>
      </c>
      <c r="I569" s="46"/>
      <c r="J569" s="46"/>
      <c r="K569" s="194">
        <f>(G569-F569)*D569*E569</f>
        <v>0</v>
      </c>
    </row>
    <row r="570" spans="1:12" x14ac:dyDescent="0.2">
      <c r="A570" s="1309"/>
      <c r="B570" s="138" t="s">
        <v>301</v>
      </c>
      <c r="C570" s="85" t="s">
        <v>1266</v>
      </c>
      <c r="D570" s="43">
        <v>357.17700000000002</v>
      </c>
      <c r="E570" s="44">
        <v>1</v>
      </c>
      <c r="F570" s="524">
        <v>3653</v>
      </c>
      <c r="G570" s="524">
        <v>3653</v>
      </c>
      <c r="H570" s="46">
        <f t="shared" si="51"/>
        <v>0</v>
      </c>
      <c r="I570" s="46"/>
      <c r="J570" s="46"/>
      <c r="K570" s="194">
        <f>(G570-F570)*D570*E570</f>
        <v>0</v>
      </c>
    </row>
    <row r="571" spans="1:12" x14ac:dyDescent="0.2">
      <c r="A571" s="1309"/>
      <c r="B571" s="135" t="s">
        <v>1340</v>
      </c>
      <c r="C571" s="51"/>
      <c r="D571" s="43"/>
      <c r="E571" s="44">
        <v>1</v>
      </c>
      <c r="F571" s="524">
        <v>962358</v>
      </c>
      <c r="G571" s="524">
        <v>962358</v>
      </c>
      <c r="H571" s="46">
        <f t="shared" si="51"/>
        <v>0</v>
      </c>
      <c r="I571" s="46"/>
      <c r="J571" s="46"/>
      <c r="K571" s="194">
        <f>H571</f>
        <v>0</v>
      </c>
    </row>
    <row r="572" spans="1:12" x14ac:dyDescent="0.2">
      <c r="A572" s="1309"/>
      <c r="B572" s="135" t="s">
        <v>1341</v>
      </c>
      <c r="C572" s="51"/>
      <c r="D572" s="43"/>
      <c r="E572" s="44">
        <v>1</v>
      </c>
      <c r="F572" s="524">
        <v>790260</v>
      </c>
      <c r="G572" s="524">
        <v>790260</v>
      </c>
      <c r="H572" s="46">
        <f t="shared" si="51"/>
        <v>0</v>
      </c>
      <c r="I572" s="46"/>
      <c r="J572" s="46"/>
      <c r="K572" s="194">
        <f>H572</f>
        <v>0</v>
      </c>
    </row>
    <row r="573" spans="1:12" x14ac:dyDescent="0.2">
      <c r="A573" s="1309"/>
      <c r="B573" s="135" t="s">
        <v>627</v>
      </c>
      <c r="C573" s="85">
        <v>20956531</v>
      </c>
      <c r="D573" s="43">
        <v>1000</v>
      </c>
      <c r="E573" s="44">
        <v>1</v>
      </c>
      <c r="F573" s="524">
        <v>4806</v>
      </c>
      <c r="G573" s="524">
        <v>4806</v>
      </c>
      <c r="H573" s="46">
        <f t="shared" si="51"/>
        <v>0</v>
      </c>
      <c r="I573" s="46"/>
      <c r="J573" s="46"/>
      <c r="K573" s="194">
        <f>(G573-F573)*D573*E573</f>
        <v>0</v>
      </c>
    </row>
    <row r="574" spans="1:12" x14ac:dyDescent="0.2">
      <c r="A574" s="1309"/>
      <c r="B574" s="135" t="s">
        <v>628</v>
      </c>
      <c r="C574" s="85">
        <v>20956530</v>
      </c>
      <c r="D574" s="43">
        <v>1000</v>
      </c>
      <c r="E574" s="44">
        <v>1</v>
      </c>
      <c r="F574" s="524">
        <v>4772</v>
      </c>
      <c r="G574" s="524">
        <v>4772</v>
      </c>
      <c r="H574" s="46">
        <f t="shared" si="51"/>
        <v>0</v>
      </c>
      <c r="I574" s="46"/>
      <c r="J574" s="46"/>
      <c r="K574" s="194">
        <f>(G574-F574)*D574*E574</f>
        <v>0</v>
      </c>
    </row>
    <row r="575" spans="1:12" x14ac:dyDescent="0.2">
      <c r="A575" s="1309"/>
      <c r="B575" s="135" t="s">
        <v>629</v>
      </c>
      <c r="C575" s="734">
        <v>2607051091254</v>
      </c>
      <c r="D575" s="43">
        <v>1</v>
      </c>
      <c r="E575" s="44">
        <v>1</v>
      </c>
      <c r="F575" s="524">
        <v>3727680</v>
      </c>
      <c r="G575" s="524">
        <v>3727680</v>
      </c>
      <c r="H575" s="46">
        <f t="shared" si="51"/>
        <v>0</v>
      </c>
      <c r="I575" s="46"/>
      <c r="J575" s="46"/>
      <c r="K575" s="194">
        <f>(G575-F575)*D575*E575</f>
        <v>0</v>
      </c>
    </row>
    <row r="576" spans="1:12" x14ac:dyDescent="0.2">
      <c r="A576" s="1309"/>
      <c r="B576" s="135" t="s">
        <v>1488</v>
      </c>
      <c r="C576" s="734">
        <v>56799726</v>
      </c>
      <c r="D576" s="43">
        <v>4000</v>
      </c>
      <c r="E576" s="44">
        <v>1</v>
      </c>
      <c r="F576" s="524">
        <v>193.096</v>
      </c>
      <c r="G576" s="524">
        <v>193.096</v>
      </c>
      <c r="H576" s="46">
        <f t="shared" si="51"/>
        <v>0</v>
      </c>
      <c r="I576" s="46"/>
      <c r="J576" s="46"/>
      <c r="K576" s="194">
        <f t="shared" ref="K576:K578" si="52">(G576-F576)*D576*E576</f>
        <v>0</v>
      </c>
    </row>
    <row r="577" spans="1:12" x14ac:dyDescent="0.2">
      <c r="A577" s="1309"/>
      <c r="B577" s="135" t="s">
        <v>1489</v>
      </c>
      <c r="C577" s="734">
        <v>56799737</v>
      </c>
      <c r="D577" s="43">
        <v>4000</v>
      </c>
      <c r="E577" s="44">
        <v>1</v>
      </c>
      <c r="F577" s="524">
        <v>269.10000000000002</v>
      </c>
      <c r="G577" s="524">
        <v>269.10000000000002</v>
      </c>
      <c r="H577" s="46">
        <f t="shared" si="51"/>
        <v>0</v>
      </c>
      <c r="I577" s="46"/>
      <c r="J577" s="46"/>
      <c r="K577" s="194">
        <f t="shared" si="52"/>
        <v>0</v>
      </c>
    </row>
    <row r="578" spans="1:12" x14ac:dyDescent="0.2">
      <c r="A578" s="1309"/>
      <c r="B578" s="135" t="s">
        <v>1490</v>
      </c>
      <c r="C578" s="734">
        <v>56799740</v>
      </c>
      <c r="D578" s="43">
        <v>4000</v>
      </c>
      <c r="E578" s="44">
        <v>1</v>
      </c>
      <c r="F578" s="524">
        <v>15.750999999999999</v>
      </c>
      <c r="G578" s="524">
        <v>15.750999999999999</v>
      </c>
      <c r="H578" s="46">
        <f t="shared" si="51"/>
        <v>0</v>
      </c>
      <c r="I578" s="46"/>
      <c r="J578" s="46"/>
      <c r="K578" s="194">
        <f t="shared" si="52"/>
        <v>0</v>
      </c>
    </row>
    <row r="579" spans="1:12" x14ac:dyDescent="0.2">
      <c r="A579" s="1309"/>
      <c r="B579" s="135" t="s">
        <v>1493</v>
      </c>
      <c r="C579" s="734">
        <v>56799736</v>
      </c>
      <c r="D579" s="43">
        <v>4000</v>
      </c>
      <c r="E579" s="44">
        <v>1</v>
      </c>
      <c r="F579" s="524">
        <v>195.11</v>
      </c>
      <c r="G579" s="524">
        <v>195.11</v>
      </c>
      <c r="H579" s="46">
        <f t="shared" ref="H579" si="53">G579-F579</f>
        <v>0</v>
      </c>
      <c r="I579" s="46"/>
      <c r="J579" s="46"/>
      <c r="K579" s="194">
        <f t="shared" ref="K579" si="54">(G579-F579)*D579*E579</f>
        <v>0</v>
      </c>
    </row>
    <row r="580" spans="1:12" x14ac:dyDescent="0.2">
      <c r="A580" s="1309"/>
      <c r="B580" s="135" t="s">
        <v>1507</v>
      </c>
      <c r="C580" s="734">
        <v>59145586</v>
      </c>
      <c r="D580" s="43">
        <v>4000</v>
      </c>
      <c r="E580" s="44">
        <v>1</v>
      </c>
      <c r="F580" s="524">
        <v>32.683</v>
      </c>
      <c r="G580" s="524">
        <v>32.683</v>
      </c>
      <c r="H580" s="46">
        <f t="shared" ref="H580" si="55">G580-F580</f>
        <v>0</v>
      </c>
      <c r="I580" s="46"/>
      <c r="J580" s="46"/>
      <c r="K580" s="194">
        <f t="shared" ref="K580" si="56">(G580-F580)*D580*E580</f>
        <v>0</v>
      </c>
    </row>
    <row r="581" spans="1:12" x14ac:dyDescent="0.2">
      <c r="A581" s="1309"/>
      <c r="B581" s="59" t="s">
        <v>8</v>
      </c>
      <c r="C581" s="51"/>
      <c r="D581" s="43"/>
      <c r="E581" s="44"/>
      <c r="F581" s="474"/>
      <c r="G581" s="70"/>
      <c r="H581" s="46"/>
      <c r="I581" s="46"/>
      <c r="J581" s="46"/>
      <c r="K581" s="195">
        <f>SUM(K568:K580)</f>
        <v>0</v>
      </c>
    </row>
    <row r="582" spans="1:12" x14ac:dyDescent="0.2">
      <c r="A582" s="1309"/>
      <c r="B582" s="580" t="s">
        <v>303</v>
      </c>
      <c r="C582" s="51"/>
      <c r="D582" s="43">
        <v>370</v>
      </c>
      <c r="E582" s="44">
        <v>1</v>
      </c>
      <c r="F582" s="474">
        <v>7253</v>
      </c>
      <c r="G582" s="70">
        <v>7253</v>
      </c>
      <c r="H582" s="46">
        <f>G582-F582</f>
        <v>0</v>
      </c>
      <c r="I582" s="46"/>
      <c r="J582" s="46"/>
      <c r="K582" s="194">
        <f>(G582-F582)*D582*E582</f>
        <v>0</v>
      </c>
    </row>
    <row r="583" spans="1:12" x14ac:dyDescent="0.2">
      <c r="A583" s="1309"/>
      <c r="B583" s="580" t="s">
        <v>159</v>
      </c>
      <c r="C583" s="51"/>
      <c r="D583" s="43">
        <v>353.24</v>
      </c>
      <c r="E583" s="44">
        <v>1</v>
      </c>
      <c r="F583" s="474">
        <v>4243</v>
      </c>
      <c r="G583" s="70">
        <v>4243</v>
      </c>
      <c r="H583" s="46">
        <f>G583-F583</f>
        <v>0</v>
      </c>
      <c r="I583" s="46"/>
      <c r="J583" s="46"/>
      <c r="K583" s="194">
        <f>(G583-F583)*D583*E583</f>
        <v>0</v>
      </c>
    </row>
    <row r="584" spans="1:12" x14ac:dyDescent="0.2">
      <c r="A584" s="1309"/>
      <c r="B584" s="580" t="s">
        <v>160</v>
      </c>
      <c r="C584" s="51"/>
      <c r="D584" s="43">
        <v>370</v>
      </c>
      <c r="E584" s="44">
        <v>1</v>
      </c>
      <c r="F584" s="474">
        <v>9217</v>
      </c>
      <c r="G584" s="70">
        <v>9217</v>
      </c>
      <c r="H584" s="46">
        <f>G584-F584</f>
        <v>0</v>
      </c>
      <c r="I584" s="46"/>
      <c r="J584" s="46"/>
      <c r="K584" s="194">
        <f>(G584-F584)*D584*E584</f>
        <v>0</v>
      </c>
    </row>
    <row r="585" spans="1:12" x14ac:dyDescent="0.2">
      <c r="A585" s="1309"/>
      <c r="B585" s="580" t="s">
        <v>302</v>
      </c>
      <c r="C585" s="51"/>
      <c r="D585" s="43">
        <v>357.17700000000002</v>
      </c>
      <c r="E585" s="44">
        <v>1</v>
      </c>
      <c r="F585" s="474">
        <v>9217</v>
      </c>
      <c r="G585" s="70">
        <v>9217</v>
      </c>
      <c r="H585" s="46">
        <f>G585-F585</f>
        <v>0</v>
      </c>
      <c r="I585" s="46"/>
      <c r="J585" s="46"/>
      <c r="K585" s="194">
        <f>(G585-F585)*D585*E585</f>
        <v>0</v>
      </c>
    </row>
    <row r="586" spans="1:12" x14ac:dyDescent="0.2">
      <c r="A586" s="1309"/>
      <c r="B586" s="59" t="s">
        <v>52</v>
      </c>
      <c r="C586" s="51"/>
      <c r="D586" s="51"/>
      <c r="E586" s="44"/>
      <c r="F586" s="423"/>
      <c r="G586" s="60"/>
      <c r="H586" s="60"/>
      <c r="I586" s="46"/>
      <c r="J586" s="46"/>
      <c r="K586" s="202">
        <f>K583+K584+K582+K585</f>
        <v>0</v>
      </c>
    </row>
    <row r="587" spans="1:12" s="4" customFormat="1" x14ac:dyDescent="0.2">
      <c r="A587" s="1309"/>
      <c r="B587" s="137" t="s">
        <v>161</v>
      </c>
      <c r="C587" s="62"/>
      <c r="D587" s="62"/>
      <c r="E587" s="63"/>
      <c r="F587" s="64"/>
      <c r="G587" s="64"/>
      <c r="H587" s="64"/>
      <c r="I587" s="66"/>
      <c r="J587" s="66"/>
      <c r="K587" s="576">
        <f>K581-K586</f>
        <v>0</v>
      </c>
      <c r="L587" s="896">
        <v>22</v>
      </c>
    </row>
    <row r="588" spans="1:12" s="9" customFormat="1" ht="12.75" customHeight="1" x14ac:dyDescent="0.2">
      <c r="A588" s="1309"/>
      <c r="B588" s="135" t="s">
        <v>362</v>
      </c>
      <c r="C588" s="78">
        <v>208176740</v>
      </c>
      <c r="D588" s="78">
        <v>1000</v>
      </c>
      <c r="E588" s="139">
        <v>1.0249999999999999</v>
      </c>
      <c r="F588" s="521">
        <v>888.399</v>
      </c>
      <c r="G588" s="521">
        <v>888.399</v>
      </c>
      <c r="H588" s="81">
        <f>G588-F588</f>
        <v>0</v>
      </c>
      <c r="I588" s="81"/>
      <c r="J588" s="83"/>
      <c r="K588" s="198">
        <f>(G588-F588)*D588*E588</f>
        <v>0</v>
      </c>
      <c r="L588" s="902"/>
    </row>
    <row r="589" spans="1:12" s="9" customFormat="1" ht="12.75" customHeight="1" x14ac:dyDescent="0.2">
      <c r="A589" s="1309"/>
      <c r="B589" s="135" t="s">
        <v>363</v>
      </c>
      <c r="C589" s="78">
        <v>208176740</v>
      </c>
      <c r="D589" s="78">
        <v>1000</v>
      </c>
      <c r="E589" s="139">
        <v>1.0249999999999999</v>
      </c>
      <c r="F589" s="521">
        <v>108.825</v>
      </c>
      <c r="G589" s="521">
        <v>108.825</v>
      </c>
      <c r="H589" s="81">
        <f>G589-F589</f>
        <v>0</v>
      </c>
      <c r="I589" s="81"/>
      <c r="J589" s="83"/>
      <c r="K589" s="198">
        <f>(G589-F589)*D589*E589</f>
        <v>0</v>
      </c>
      <c r="L589" s="902"/>
    </row>
    <row r="590" spans="1:12" x14ac:dyDescent="0.2">
      <c r="A590" s="1309"/>
      <c r="B590" s="140" t="s">
        <v>407</v>
      </c>
      <c r="C590" s="62"/>
      <c r="D590" s="62"/>
      <c r="E590" s="63"/>
      <c r="F590" s="64"/>
      <c r="G590" s="64"/>
      <c r="H590" s="64"/>
      <c r="I590" s="66"/>
      <c r="J590" s="66"/>
      <c r="K590" s="1238">
        <f>K588-K589</f>
        <v>0</v>
      </c>
      <c r="L590" s="749">
        <v>23</v>
      </c>
    </row>
    <row r="591" spans="1:12" x14ac:dyDescent="0.2">
      <c r="A591" s="1309"/>
      <c r="B591" s="135" t="s">
        <v>1574</v>
      </c>
      <c r="C591" s="78">
        <v>61480279</v>
      </c>
      <c r="D591" s="78">
        <v>418181.81800000003</v>
      </c>
      <c r="E591" s="44">
        <v>1</v>
      </c>
      <c r="F591" s="521">
        <v>279.69236000000001</v>
      </c>
      <c r="G591" s="521">
        <v>297.04205999999999</v>
      </c>
      <c r="H591" s="81">
        <f>G591-F591</f>
        <v>17.349699999999984</v>
      </c>
      <c r="I591" s="81"/>
      <c r="J591" s="83"/>
      <c r="K591" s="198">
        <f>(G591-F591)*D591*E591</f>
        <v>7255329.0877545942</v>
      </c>
    </row>
    <row r="592" spans="1:12" x14ac:dyDescent="0.2">
      <c r="A592" s="1309"/>
      <c r="B592" s="135" t="s">
        <v>1575</v>
      </c>
      <c r="C592" s="78">
        <v>61480279</v>
      </c>
      <c r="D592" s="78">
        <v>418181.81800000003</v>
      </c>
      <c r="E592" s="44">
        <v>1</v>
      </c>
      <c r="F592" s="521">
        <v>1.6288</v>
      </c>
      <c r="G592" s="521">
        <v>1.7238500000000001</v>
      </c>
      <c r="H592" s="81">
        <f>G592-F592</f>
        <v>9.5050000000000079E-2</v>
      </c>
      <c r="I592" s="81"/>
      <c r="J592" s="83"/>
      <c r="K592" s="198">
        <f>(G592-F592)*D592*E592</f>
        <v>39748.181800900034</v>
      </c>
    </row>
    <row r="593" spans="1:12" x14ac:dyDescent="0.2">
      <c r="A593" s="1309"/>
      <c r="B593" s="135" t="s">
        <v>1576</v>
      </c>
      <c r="C593" s="78">
        <v>61480342</v>
      </c>
      <c r="D593" s="78">
        <v>209090.90900000001</v>
      </c>
      <c r="E593" s="44">
        <v>1</v>
      </c>
      <c r="F593" s="521">
        <v>275.76540999999997</v>
      </c>
      <c r="G593" s="521">
        <v>293.06437</v>
      </c>
      <c r="H593" s="81">
        <f>G593-F593</f>
        <v>17.298960000000022</v>
      </c>
      <c r="I593" s="81"/>
      <c r="J593" s="83"/>
      <c r="K593" s="198">
        <f>(G593-F593)*D593*E593</f>
        <v>3617055.2711546449</v>
      </c>
    </row>
    <row r="594" spans="1:12" x14ac:dyDescent="0.2">
      <c r="A594" s="1309"/>
      <c r="B594" s="135" t="s">
        <v>1577</v>
      </c>
      <c r="C594" s="78">
        <v>61480342</v>
      </c>
      <c r="D594" s="78">
        <v>209090.90900000001</v>
      </c>
      <c r="E594" s="44">
        <v>1</v>
      </c>
      <c r="F594" s="521">
        <v>1.55531</v>
      </c>
      <c r="G594" s="521">
        <v>1.6288499999999999</v>
      </c>
      <c r="H594" s="81">
        <f>G594-F594</f>
        <v>7.3539999999999939E-2</v>
      </c>
      <c r="I594" s="81"/>
      <c r="J594" s="83"/>
      <c r="K594" s="198">
        <f>(G594-F594)*D594*E594</f>
        <v>15376.545447859988</v>
      </c>
    </row>
    <row r="595" spans="1:12" x14ac:dyDescent="0.2">
      <c r="A595" s="1309"/>
      <c r="B595" s="140" t="s">
        <v>1578</v>
      </c>
      <c r="C595" s="62"/>
      <c r="D595" s="62"/>
      <c r="E595" s="63"/>
      <c r="F595" s="64"/>
      <c r="G595" s="64"/>
      <c r="H595" s="64"/>
      <c r="I595" s="66"/>
      <c r="J595" s="66"/>
      <c r="K595" s="576">
        <f>K593-K594+K591-K592</f>
        <v>10817259.631660478</v>
      </c>
      <c r="L595" s="749">
        <v>24</v>
      </c>
    </row>
    <row r="596" spans="1:12" ht="12.75" hidden="1" customHeight="1" x14ac:dyDescent="0.2">
      <c r="A596" s="1309"/>
      <c r="B596" s="135" t="s">
        <v>515</v>
      </c>
      <c r="C596" s="51"/>
      <c r="D596" s="85">
        <v>1672727.27</v>
      </c>
      <c r="E596" s="44">
        <v>1</v>
      </c>
      <c r="F596" s="141">
        <v>1424.8496</v>
      </c>
      <c r="G596" s="141">
        <v>1424.8496</v>
      </c>
      <c r="H596" s="52">
        <f>G596-F596</f>
        <v>0</v>
      </c>
      <c r="I596" s="46"/>
      <c r="J596" s="46"/>
      <c r="K596" s="200">
        <f>(G596-F596)*D596*E596</f>
        <v>0</v>
      </c>
    </row>
    <row r="597" spans="1:12" ht="12.75" hidden="1" customHeight="1" x14ac:dyDescent="0.2">
      <c r="A597" s="1309"/>
      <c r="B597" s="135" t="s">
        <v>516</v>
      </c>
      <c r="C597" s="51"/>
      <c r="D597" s="85">
        <v>1672727.27</v>
      </c>
      <c r="E597" s="44">
        <v>1</v>
      </c>
      <c r="F597" s="141">
        <v>0.33932499999999999</v>
      </c>
      <c r="G597" s="141">
        <v>0.33932499999999999</v>
      </c>
      <c r="H597" s="52">
        <f>G597-F597</f>
        <v>0</v>
      </c>
      <c r="I597" s="46"/>
      <c r="J597" s="46"/>
      <c r="K597" s="200">
        <f>(G597-F597)*D597*E597</f>
        <v>0</v>
      </c>
    </row>
    <row r="598" spans="1:12" s="12" customFormat="1" x14ac:dyDescent="0.2">
      <c r="A598" s="1310"/>
      <c r="B598" s="154" t="s">
        <v>162</v>
      </c>
      <c r="C598" s="132"/>
      <c r="D598" s="132"/>
      <c r="E598" s="142"/>
      <c r="F598" s="116"/>
      <c r="G598" s="116"/>
      <c r="H598" s="116"/>
      <c r="I598" s="118"/>
      <c r="J598" s="118"/>
      <c r="K598" s="1239">
        <f>K554+K529+K551+K548+K491+K476+K469+K488+K463+K532+K590+K587+K564+K537+K516+K521+K454+K508+K505+K494+K451+K557+K483+K567+K595</f>
        <v>1037011089.9486465</v>
      </c>
      <c r="L598" s="1260">
        <f>K598+'Gen-Ind'!I15+'Gen-Ind'!I16</f>
        <v>1062391569.9486467</v>
      </c>
    </row>
    <row r="599" spans="1:12" ht="12.75" customHeight="1" x14ac:dyDescent="0.2">
      <c r="A599" s="1308" t="s">
        <v>4</v>
      </c>
      <c r="B599" s="432" t="s">
        <v>706</v>
      </c>
      <c r="C599" s="43">
        <v>50148241</v>
      </c>
      <c r="D599" s="43">
        <v>96000</v>
      </c>
      <c r="E599" s="44">
        <v>1</v>
      </c>
      <c r="F599" s="543">
        <v>27097.088100000001</v>
      </c>
      <c r="G599" s="543">
        <v>27307.4437</v>
      </c>
      <c r="H599" s="46">
        <f t="shared" ref="H599:H651" si="57">G599-F599</f>
        <v>210.35559999999896</v>
      </c>
      <c r="I599" s="46"/>
      <c r="J599" s="46"/>
      <c r="K599" s="194">
        <f>(G599-F599)*D599*E599</f>
        <v>20194137.599999901</v>
      </c>
    </row>
    <row r="600" spans="1:12" ht="12.75" customHeight="1" x14ac:dyDescent="0.2">
      <c r="A600" s="1309"/>
      <c r="B600" s="432" t="s">
        <v>707</v>
      </c>
      <c r="C600" s="43">
        <v>50148241</v>
      </c>
      <c r="D600" s="43">
        <v>96000</v>
      </c>
      <c r="E600" s="44">
        <v>1</v>
      </c>
      <c r="F600" s="543">
        <v>4.0189000000000004</v>
      </c>
      <c r="G600" s="543">
        <v>4.0194999999999999</v>
      </c>
      <c r="H600" s="46">
        <f t="shared" si="57"/>
        <v>5.9999999999948983E-4</v>
      </c>
      <c r="I600" s="46"/>
      <c r="J600" s="46"/>
      <c r="K600" s="194">
        <f>(G600-F600)*D600*E600</f>
        <v>57.599999999951024</v>
      </c>
    </row>
    <row r="601" spans="1:12" x14ac:dyDescent="0.2">
      <c r="A601" s="1309"/>
      <c r="B601" s="432" t="s">
        <v>408</v>
      </c>
      <c r="C601" s="43"/>
      <c r="D601" s="43"/>
      <c r="E601" s="44"/>
      <c r="F601" s="143"/>
      <c r="G601" s="143"/>
      <c r="H601" s="46"/>
      <c r="I601" s="46"/>
      <c r="J601" s="46"/>
      <c r="K601" s="195">
        <f>K599</f>
        <v>20194137.599999901</v>
      </c>
    </row>
    <row r="602" spans="1:12" x14ac:dyDescent="0.2">
      <c r="A602" s="1309"/>
      <c r="B602" s="432" t="s">
        <v>409</v>
      </c>
      <c r="C602" s="43"/>
      <c r="D602" s="43"/>
      <c r="E602" s="44"/>
      <c r="F602" s="143"/>
      <c r="G602" s="143"/>
      <c r="H602" s="46"/>
      <c r="I602" s="46"/>
      <c r="J602" s="46"/>
      <c r="K602" s="195">
        <f>K600</f>
        <v>57.599999999951024</v>
      </c>
    </row>
    <row r="603" spans="1:12" s="4" customFormat="1" x14ac:dyDescent="0.2">
      <c r="A603" s="1309"/>
      <c r="B603" s="61" t="s">
        <v>163</v>
      </c>
      <c r="C603" s="62"/>
      <c r="D603" s="62"/>
      <c r="E603" s="63"/>
      <c r="F603" s="497"/>
      <c r="G603" s="497"/>
      <c r="H603" s="65"/>
      <c r="I603" s="66"/>
      <c r="J603" s="66"/>
      <c r="K603" s="576">
        <f>K601-K602</f>
        <v>20194079.999999899</v>
      </c>
      <c r="L603" s="896">
        <v>1</v>
      </c>
    </row>
    <row r="604" spans="1:12" x14ac:dyDescent="0.2">
      <c r="A604" s="1309"/>
      <c r="B604" s="157" t="s">
        <v>1349</v>
      </c>
      <c r="C604" s="78">
        <v>38992515</v>
      </c>
      <c r="D604" s="78">
        <v>2090909.0909</v>
      </c>
      <c r="E604" s="499">
        <v>1</v>
      </c>
      <c r="F604" s="813">
        <v>109.4811</v>
      </c>
      <c r="G604" s="813">
        <v>109.4811</v>
      </c>
      <c r="H604" s="498">
        <f t="shared" si="57"/>
        <v>0</v>
      </c>
      <c r="I604" s="81"/>
      <c r="J604" s="81"/>
      <c r="K604" s="198">
        <f t="shared" ref="K604:K608" si="58">(G604-F604)*D604*E604</f>
        <v>0</v>
      </c>
    </row>
    <row r="605" spans="1:12" x14ac:dyDescent="0.2">
      <c r="A605" s="1309"/>
      <c r="B605" s="157" t="s">
        <v>1350</v>
      </c>
      <c r="C605" s="78">
        <v>43168843</v>
      </c>
      <c r="D605" s="78">
        <v>2090909.0909</v>
      </c>
      <c r="E605" s="499">
        <v>1</v>
      </c>
      <c r="F605" s="522">
        <v>76.990210000000005</v>
      </c>
      <c r="G605" s="522">
        <v>76.990210000000005</v>
      </c>
      <c r="H605" s="498">
        <f t="shared" si="57"/>
        <v>0</v>
      </c>
      <c r="I605" s="81"/>
      <c r="J605" s="81"/>
      <c r="K605" s="198">
        <f t="shared" si="58"/>
        <v>0</v>
      </c>
    </row>
    <row r="606" spans="1:12" x14ac:dyDescent="0.2">
      <c r="A606" s="1309"/>
      <c r="B606" s="157" t="s">
        <v>1353</v>
      </c>
      <c r="C606" s="78">
        <v>38992516</v>
      </c>
      <c r="D606" s="78">
        <v>2090909.0909</v>
      </c>
      <c r="E606" s="499">
        <v>1</v>
      </c>
      <c r="F606" s="814">
        <v>56.649799999999999</v>
      </c>
      <c r="G606" s="814">
        <v>56.649799999999999</v>
      </c>
      <c r="H606" s="498">
        <f t="shared" si="57"/>
        <v>0</v>
      </c>
      <c r="I606" s="81"/>
      <c r="J606" s="81"/>
      <c r="K606" s="198">
        <f>(G606-F606)*D606*E606</f>
        <v>0</v>
      </c>
    </row>
    <row r="607" spans="1:12" x14ac:dyDescent="0.2">
      <c r="A607" s="1309"/>
      <c r="B607" s="157" t="s">
        <v>1115</v>
      </c>
      <c r="C607" s="102"/>
      <c r="D607" s="78">
        <v>2090909.0909</v>
      </c>
      <c r="E607" s="499">
        <v>1</v>
      </c>
      <c r="F607" s="544">
        <v>0</v>
      </c>
      <c r="G607" s="544">
        <v>0</v>
      </c>
      <c r="H607" s="498">
        <f t="shared" si="57"/>
        <v>0</v>
      </c>
      <c r="I607" s="81"/>
      <c r="J607" s="81"/>
      <c r="K607" s="198">
        <f t="shared" si="58"/>
        <v>0</v>
      </c>
    </row>
    <row r="608" spans="1:12" x14ac:dyDescent="0.2">
      <c r="A608" s="1309"/>
      <c r="B608" s="157" t="s">
        <v>1300</v>
      </c>
      <c r="C608" s="78">
        <v>50148485</v>
      </c>
      <c r="D608" s="78">
        <v>4000</v>
      </c>
      <c r="E608" s="55">
        <v>1</v>
      </c>
      <c r="F608" s="769">
        <v>728.22500000000002</v>
      </c>
      <c r="G608" s="544">
        <v>728.22500000000002</v>
      </c>
      <c r="H608" s="498">
        <v>0</v>
      </c>
      <c r="I608" s="81"/>
      <c r="J608" s="81"/>
      <c r="K608" s="198">
        <f t="shared" si="58"/>
        <v>0</v>
      </c>
      <c r="L608" s="749" t="s">
        <v>1329</v>
      </c>
    </row>
    <row r="609" spans="1:12" x14ac:dyDescent="0.2">
      <c r="A609" s="1309"/>
      <c r="B609" s="50" t="s">
        <v>484</v>
      </c>
      <c r="C609" s="102"/>
      <c r="D609" s="78"/>
      <c r="E609" s="55"/>
      <c r="F609" s="57"/>
      <c r="G609" s="57"/>
      <c r="H609" s="498">
        <f t="shared" si="57"/>
        <v>0</v>
      </c>
      <c r="I609" s="57"/>
      <c r="J609" s="57"/>
      <c r="K609" s="202">
        <f>SUM(K604:K608)</f>
        <v>0</v>
      </c>
    </row>
    <row r="610" spans="1:12" x14ac:dyDescent="0.2">
      <c r="A610" s="1309"/>
      <c r="B610" s="157" t="s">
        <v>1351</v>
      </c>
      <c r="C610" s="102"/>
      <c r="D610" s="78">
        <v>2090909.0909</v>
      </c>
      <c r="E610" s="55">
        <v>1</v>
      </c>
      <c r="F610" s="57">
        <v>3.1399999999999997E-2</v>
      </c>
      <c r="G610" s="57">
        <v>3.1399999999999997E-2</v>
      </c>
      <c r="H610" s="498">
        <f t="shared" si="57"/>
        <v>0</v>
      </c>
      <c r="I610" s="57"/>
      <c r="J610" s="57"/>
      <c r="K610" s="198">
        <f t="shared" ref="K610:K611" si="59">H610*E610*D610</f>
        <v>0</v>
      </c>
    </row>
    <row r="611" spans="1:12" x14ac:dyDescent="0.2">
      <c r="A611" s="1309"/>
      <c r="B611" s="157" t="s">
        <v>1352</v>
      </c>
      <c r="C611" s="102"/>
      <c r="D611" s="78">
        <v>2090909.0909</v>
      </c>
      <c r="E611" s="55">
        <v>1</v>
      </c>
      <c r="F611" s="57">
        <v>6.4345600000000003</v>
      </c>
      <c r="G611" s="81">
        <v>6.4345600000000003</v>
      </c>
      <c r="H611" s="498">
        <f t="shared" si="57"/>
        <v>0</v>
      </c>
      <c r="I611" s="57"/>
      <c r="J611" s="57"/>
      <c r="K611" s="198">
        <f t="shared" si="59"/>
        <v>0</v>
      </c>
    </row>
    <row r="612" spans="1:12" x14ac:dyDescent="0.2">
      <c r="A612" s="1309"/>
      <c r="B612" s="157" t="s">
        <v>1387</v>
      </c>
      <c r="C612" s="102"/>
      <c r="D612" s="78">
        <v>2090909.0909</v>
      </c>
      <c r="E612" s="55">
        <v>1</v>
      </c>
      <c r="F612" s="424">
        <v>0</v>
      </c>
      <c r="G612" s="57">
        <v>0</v>
      </c>
      <c r="H612" s="498">
        <f>G612-F612</f>
        <v>0</v>
      </c>
      <c r="I612" s="57"/>
      <c r="J612" s="57"/>
      <c r="K612" s="198">
        <f>H612*E612*D612</f>
        <v>0</v>
      </c>
    </row>
    <row r="613" spans="1:12" x14ac:dyDescent="0.2">
      <c r="A613" s="1309"/>
      <c r="B613" s="157" t="s">
        <v>1592</v>
      </c>
      <c r="C613" s="78">
        <v>50499236</v>
      </c>
      <c r="D613" s="78">
        <v>18000</v>
      </c>
      <c r="E613" s="55">
        <v>1</v>
      </c>
      <c r="F613" s="424">
        <v>105.47669999999999</v>
      </c>
      <c r="G613" s="57">
        <v>113.1593</v>
      </c>
      <c r="H613" s="498">
        <f>G613-F613</f>
        <v>7.6826000000000079</v>
      </c>
      <c r="I613" s="57"/>
      <c r="J613" s="57"/>
      <c r="K613" s="198">
        <f>H613*E613*D613</f>
        <v>138286.80000000013</v>
      </c>
    </row>
    <row r="614" spans="1:12" x14ac:dyDescent="0.2">
      <c r="A614" s="1309"/>
      <c r="B614" s="50" t="s">
        <v>485</v>
      </c>
      <c r="C614" s="102"/>
      <c r="D614" s="102"/>
      <c r="E614" s="55"/>
      <c r="F614" s="424"/>
      <c r="G614" s="57"/>
      <c r="H614" s="247"/>
      <c r="I614" s="57"/>
      <c r="J614" s="57"/>
      <c r="K614" s="202">
        <f>SUM(K610:K613)</f>
        <v>138286.80000000013</v>
      </c>
    </row>
    <row r="615" spans="1:12" x14ac:dyDescent="0.2">
      <c r="A615" s="1309"/>
      <c r="B615" s="61" t="s">
        <v>486</v>
      </c>
      <c r="C615" s="62"/>
      <c r="D615" s="62"/>
      <c r="E615" s="63"/>
      <c r="F615" s="63"/>
      <c r="G615" s="66"/>
      <c r="H615" s="65"/>
      <c r="I615" s="66"/>
      <c r="J615" s="66"/>
      <c r="K615" s="576">
        <f>K609-K614</f>
        <v>-138286.80000000013</v>
      </c>
      <c r="L615" s="749">
        <v>2</v>
      </c>
    </row>
    <row r="616" spans="1:12" x14ac:dyDescent="0.2">
      <c r="A616" s="1309"/>
      <c r="B616" s="157" t="s">
        <v>1244</v>
      </c>
      <c r="C616" s="102"/>
      <c r="D616" s="78">
        <v>1045454.5454545455</v>
      </c>
      <c r="E616" s="79">
        <v>1</v>
      </c>
      <c r="F616" s="714">
        <v>142.03299000000001</v>
      </c>
      <c r="G616" s="714">
        <v>142.03299000000001</v>
      </c>
      <c r="H616" s="187">
        <f>G616-F616</f>
        <v>0</v>
      </c>
      <c r="I616" s="57"/>
      <c r="J616" s="57"/>
      <c r="K616" s="1159">
        <f>H616*E616*D616+K613</f>
        <v>138286.80000000013</v>
      </c>
    </row>
    <row r="617" spans="1:12" x14ac:dyDescent="0.2">
      <c r="A617" s="1309"/>
      <c r="B617" s="157" t="s">
        <v>1245</v>
      </c>
      <c r="C617" s="102"/>
      <c r="D617" s="78">
        <v>1045454.5454545455</v>
      </c>
      <c r="E617" s="79">
        <v>1</v>
      </c>
      <c r="F617" s="714">
        <v>11.60669</v>
      </c>
      <c r="G617" s="1089">
        <v>11.934139999999999</v>
      </c>
      <c r="H617" s="187">
        <f>G617-F617</f>
        <v>0.32744999999999891</v>
      </c>
      <c r="I617" s="57"/>
      <c r="J617" s="57"/>
      <c r="K617" s="612">
        <f>H617*E617*D617</f>
        <v>342334.09090908978</v>
      </c>
    </row>
    <row r="618" spans="1:12" x14ac:dyDescent="0.2">
      <c r="A618" s="1309"/>
      <c r="B618" s="61" t="s">
        <v>1246</v>
      </c>
      <c r="C618" s="62"/>
      <c r="D618" s="62"/>
      <c r="E618" s="63"/>
      <c r="F618" s="63"/>
      <c r="G618" s="66"/>
      <c r="H618" s="65"/>
      <c r="I618" s="66"/>
      <c r="J618" s="66"/>
      <c r="K618" s="576">
        <f>K616-K617</f>
        <v>-204047.29090908964</v>
      </c>
      <c r="L618" s="749">
        <v>3</v>
      </c>
    </row>
    <row r="619" spans="1:12" x14ac:dyDescent="0.2">
      <c r="A619" s="1309"/>
      <c r="B619" s="456" t="s">
        <v>676</v>
      </c>
      <c r="C619" s="1328" t="s">
        <v>708</v>
      </c>
      <c r="D619" s="418">
        <v>2181818.1818181821</v>
      </c>
      <c r="E619" s="419">
        <v>1</v>
      </c>
      <c r="F619" s="529">
        <v>4459.8810000000003</v>
      </c>
      <c r="G619" s="529">
        <v>4539.201</v>
      </c>
      <c r="H619" s="420">
        <f>G619-F619</f>
        <v>79.319999999999709</v>
      </c>
      <c r="I619" s="420"/>
      <c r="J619" s="420"/>
      <c r="K619" s="470">
        <f>(G619-F619)*D619*E619</f>
        <v>173061818.18181756</v>
      </c>
    </row>
    <row r="620" spans="1:12" x14ac:dyDescent="0.2">
      <c r="A620" s="1309"/>
      <c r="B620" s="456" t="s">
        <v>677</v>
      </c>
      <c r="C620" s="1329"/>
      <c r="D620" s="418">
        <v>2181818.1818181821</v>
      </c>
      <c r="E620" s="419">
        <v>1</v>
      </c>
      <c r="F620" s="529">
        <v>6.58</v>
      </c>
      <c r="G620" s="529">
        <v>6.58</v>
      </c>
      <c r="H620" s="420">
        <f>G620-F620</f>
        <v>0</v>
      </c>
      <c r="I620" s="420"/>
      <c r="J620" s="420"/>
      <c r="K620" s="470">
        <f>(G620-F620)*D620*E620</f>
        <v>0</v>
      </c>
    </row>
    <row r="621" spans="1:12" x14ac:dyDescent="0.2">
      <c r="A621" s="1309"/>
      <c r="B621" s="456" t="s">
        <v>676</v>
      </c>
      <c r="C621" s="1328" t="s">
        <v>1499</v>
      </c>
      <c r="D621" s="418">
        <v>1</v>
      </c>
      <c r="E621" s="419">
        <v>1</v>
      </c>
      <c r="F621" s="452">
        <v>5822271313</v>
      </c>
      <c r="G621" s="452">
        <v>5822271313</v>
      </c>
      <c r="H621" s="420">
        <f t="shared" ref="H621:H622" si="60">G621-F621</f>
        <v>0</v>
      </c>
      <c r="I621" s="420"/>
      <c r="J621" s="420"/>
      <c r="K621" s="470">
        <f>(G621-F621)*D621*E621</f>
        <v>0</v>
      </c>
      <c r="L621" s="1325" t="s">
        <v>1500</v>
      </c>
    </row>
    <row r="622" spans="1:12" x14ac:dyDescent="0.2">
      <c r="A622" s="1309"/>
      <c r="B622" s="456" t="s">
        <v>677</v>
      </c>
      <c r="C622" s="1329"/>
      <c r="D622" s="418">
        <v>1</v>
      </c>
      <c r="E622" s="419">
        <v>1</v>
      </c>
      <c r="F622" s="452">
        <v>13008332.640000001</v>
      </c>
      <c r="G622" s="452">
        <v>13008332.640000001</v>
      </c>
      <c r="H622" s="420">
        <f t="shared" si="60"/>
        <v>0</v>
      </c>
      <c r="I622" s="420"/>
      <c r="J622" s="420"/>
      <c r="K622" s="470">
        <f>(G622-F622)*D622*E622</f>
        <v>0</v>
      </c>
      <c r="L622" s="1325"/>
    </row>
    <row r="623" spans="1:12" x14ac:dyDescent="0.2">
      <c r="A623" s="1309"/>
      <c r="B623" s="456" t="s">
        <v>808</v>
      </c>
      <c r="C623" s="1328">
        <v>2840500</v>
      </c>
      <c r="D623" s="569">
        <v>1454545.4546000001</v>
      </c>
      <c r="E623" s="419">
        <v>1</v>
      </c>
      <c r="F623" s="529">
        <v>2796.8009999999999</v>
      </c>
      <c r="G623" s="529">
        <v>2853.1689999999999</v>
      </c>
      <c r="H623" s="420">
        <f>G623-F623</f>
        <v>56.367999999999938</v>
      </c>
      <c r="I623" s="420"/>
      <c r="J623" s="420"/>
      <c r="K623" s="470">
        <f>H623*E623*D623</f>
        <v>81989818.184892714</v>
      </c>
      <c r="L623" s="1063"/>
    </row>
    <row r="624" spans="1:12" x14ac:dyDescent="0.2">
      <c r="A624" s="1309"/>
      <c r="B624" s="456" t="s">
        <v>809</v>
      </c>
      <c r="C624" s="1329"/>
      <c r="D624" s="569">
        <v>1454545.4546000001</v>
      </c>
      <c r="E624" s="419">
        <v>1</v>
      </c>
      <c r="F624" s="529">
        <v>0.77400000000000002</v>
      </c>
      <c r="G624" s="530">
        <v>0.77400000000000002</v>
      </c>
      <c r="H624" s="420">
        <f>G624-F624</f>
        <v>0</v>
      </c>
      <c r="I624" s="420"/>
      <c r="J624" s="420"/>
      <c r="K624" s="470">
        <f>(G624-F624)*D624*E624</f>
        <v>0</v>
      </c>
    </row>
    <row r="625" spans="1:12" x14ac:dyDescent="0.2">
      <c r="A625" s="1309"/>
      <c r="B625" s="295" t="s">
        <v>678</v>
      </c>
      <c r="C625" s="401" t="s">
        <v>1491</v>
      </c>
      <c r="D625" s="401">
        <v>209090.90909090909</v>
      </c>
      <c r="E625" s="402">
        <v>1</v>
      </c>
      <c r="F625" s="521">
        <v>1329.171</v>
      </c>
      <c r="G625" s="521">
        <v>1329.171</v>
      </c>
      <c r="H625" s="404">
        <f>G625-F625</f>
        <v>0</v>
      </c>
      <c r="I625" s="404"/>
      <c r="J625" s="404"/>
      <c r="K625" s="470">
        <f>(G625-F625)*D625*E625</f>
        <v>0</v>
      </c>
    </row>
    <row r="626" spans="1:12" x14ac:dyDescent="0.2">
      <c r="A626" s="1309"/>
      <c r="B626" s="295" t="s">
        <v>1526</v>
      </c>
      <c r="C626" s="401" t="s">
        <v>1527</v>
      </c>
      <c r="D626" s="401">
        <v>1</v>
      </c>
      <c r="E626" s="402">
        <v>1</v>
      </c>
      <c r="F626" s="521">
        <v>198748240</v>
      </c>
      <c r="G626" s="521">
        <v>198748240</v>
      </c>
      <c r="H626" s="404">
        <f>G626-F626</f>
        <v>0</v>
      </c>
      <c r="I626" s="404"/>
      <c r="J626" s="404"/>
      <c r="K626" s="470">
        <f>(G626-F626)*D626*E626</f>
        <v>0</v>
      </c>
      <c r="L626" s="902" t="s">
        <v>1500</v>
      </c>
    </row>
    <row r="627" spans="1:12" x14ac:dyDescent="0.2">
      <c r="A627" s="1309"/>
      <c r="B627" s="295" t="s">
        <v>1492</v>
      </c>
      <c r="C627" s="401" t="s">
        <v>1525</v>
      </c>
      <c r="D627" s="401">
        <v>6000</v>
      </c>
      <c r="E627" s="402">
        <v>1</v>
      </c>
      <c r="F627" s="521">
        <v>90.981999999999999</v>
      </c>
      <c r="G627" s="521">
        <v>95.423000000000002</v>
      </c>
      <c r="H627" s="404">
        <f>G627-F627</f>
        <v>4.4410000000000025</v>
      </c>
      <c r="I627" s="404"/>
      <c r="J627" s="404"/>
      <c r="K627" s="470">
        <f>(G627-F627)*D627*E627</f>
        <v>26646.000000000015</v>
      </c>
    </row>
    <row r="628" spans="1:12" x14ac:dyDescent="0.2">
      <c r="A628" s="1309"/>
      <c r="B628" s="457" t="s">
        <v>408</v>
      </c>
      <c r="C628" s="401"/>
      <c r="D628" s="401"/>
      <c r="E628" s="402"/>
      <c r="F628" s="403"/>
      <c r="G628" s="403"/>
      <c r="H628" s="404"/>
      <c r="I628" s="404"/>
      <c r="J628" s="404"/>
      <c r="K628" s="470">
        <f>K619+K623+K627+K621</f>
        <v>255078282.36671028</v>
      </c>
    </row>
    <row r="629" spans="1:12" x14ac:dyDescent="0.2">
      <c r="A629" s="1309"/>
      <c r="B629" s="457" t="s">
        <v>409</v>
      </c>
      <c r="C629" s="78"/>
      <c r="D629" s="78"/>
      <c r="E629" s="79"/>
      <c r="F629" s="80"/>
      <c r="G629" s="80"/>
      <c r="H629" s="81"/>
      <c r="I629" s="81"/>
      <c r="J629" s="81"/>
      <c r="K629" s="198">
        <f>K625+K620+K624+K622+K626</f>
        <v>0</v>
      </c>
    </row>
    <row r="630" spans="1:12" x14ac:dyDescent="0.2">
      <c r="A630" s="1309"/>
      <c r="B630" s="466" t="s">
        <v>709</v>
      </c>
      <c r="C630" s="109"/>
      <c r="D630" s="109"/>
      <c r="E630" s="110"/>
      <c r="F630" s="111"/>
      <c r="G630" s="111"/>
      <c r="H630" s="112"/>
      <c r="I630" s="112"/>
      <c r="J630" s="112"/>
      <c r="K630" s="576">
        <f>K628-K629</f>
        <v>255078282.36671028</v>
      </c>
      <c r="L630" s="749">
        <v>4</v>
      </c>
    </row>
    <row r="631" spans="1:12" x14ac:dyDescent="0.2">
      <c r="A631" s="1309"/>
      <c r="B631" s="715" t="s">
        <v>1248</v>
      </c>
      <c r="C631" s="401"/>
      <c r="D631" s="401">
        <v>3636363.6359999999</v>
      </c>
      <c r="E631" s="402">
        <v>1</v>
      </c>
      <c r="F631" s="735">
        <v>3155.6219999999998</v>
      </c>
      <c r="G631" s="735">
        <v>3216.25</v>
      </c>
      <c r="H631" s="404">
        <f>G631-F631</f>
        <v>60.628000000000156</v>
      </c>
      <c r="I631" s="404"/>
      <c r="J631" s="404"/>
      <c r="K631" s="906">
        <f>H631*E631*D631</f>
        <v>220465454.52340856</v>
      </c>
    </row>
    <row r="632" spans="1:12" x14ac:dyDescent="0.2">
      <c r="A632" s="1309"/>
      <c r="B632" s="715" t="s">
        <v>1249</v>
      </c>
      <c r="C632" s="401"/>
      <c r="D632" s="401">
        <v>3636363.6359999999</v>
      </c>
      <c r="E632" s="402">
        <v>1</v>
      </c>
      <c r="F632" s="735">
        <v>4.875</v>
      </c>
      <c r="G632" s="735">
        <v>4.875</v>
      </c>
      <c r="H632" s="404">
        <f>G632-F632</f>
        <v>0</v>
      </c>
      <c r="I632" s="404"/>
      <c r="J632" s="404"/>
      <c r="K632" s="906">
        <f>H632*E632*D632</f>
        <v>0</v>
      </c>
    </row>
    <row r="633" spans="1:12" x14ac:dyDescent="0.2">
      <c r="A633" s="1309"/>
      <c r="B633" s="715" t="s">
        <v>1188</v>
      </c>
      <c r="C633" s="401" t="s">
        <v>1149</v>
      </c>
      <c r="D633" s="401">
        <v>209090.90900000001</v>
      </c>
      <c r="E633" s="402">
        <v>1</v>
      </c>
      <c r="F633" s="735">
        <v>553.44600000000003</v>
      </c>
      <c r="G633" s="735">
        <v>565.07899999999995</v>
      </c>
      <c r="H633" s="404">
        <f>G633-F633</f>
        <v>11.632999999999925</v>
      </c>
      <c r="I633" s="404"/>
      <c r="J633" s="404"/>
      <c r="K633" s="906">
        <f>H633*E633*D633</f>
        <v>2432354.5443969844</v>
      </c>
    </row>
    <row r="634" spans="1:12" x14ac:dyDescent="0.2">
      <c r="A634" s="1309"/>
      <c r="B634" s="466" t="s">
        <v>1250</v>
      </c>
      <c r="C634" s="109"/>
      <c r="D634" s="109"/>
      <c r="E634" s="110"/>
      <c r="F634" s="111"/>
      <c r="G634" s="111"/>
      <c r="H634" s="112"/>
      <c r="I634" s="112"/>
      <c r="J634" s="112"/>
      <c r="K634" s="590">
        <f>K631-K632-K633</f>
        <v>218033099.97901157</v>
      </c>
      <c r="L634" s="749">
        <v>5</v>
      </c>
    </row>
    <row r="635" spans="1:12" x14ac:dyDescent="0.2">
      <c r="A635" s="1309"/>
      <c r="B635" s="122" t="s">
        <v>165</v>
      </c>
      <c r="C635" s="43">
        <v>8575280</v>
      </c>
      <c r="D635" s="43">
        <v>960000</v>
      </c>
      <c r="E635" s="44">
        <v>1</v>
      </c>
      <c r="F635" s="545">
        <v>7936.2070000000003</v>
      </c>
      <c r="G635" s="545">
        <v>7987.7871500000001</v>
      </c>
      <c r="H635" s="46">
        <f t="shared" si="57"/>
        <v>51.580149999999776</v>
      </c>
      <c r="I635" s="46">
        <v>1025.1327200000001</v>
      </c>
      <c r="J635" s="46">
        <v>1025.1327200000001</v>
      </c>
      <c r="K635" s="194">
        <f>(G635-F635)*D635*E635</f>
        <v>49516943.999999784</v>
      </c>
    </row>
    <row r="636" spans="1:12" x14ac:dyDescent="0.2">
      <c r="A636" s="1309"/>
      <c r="B636" s="122" t="s">
        <v>166</v>
      </c>
      <c r="C636" s="43">
        <v>8575280</v>
      </c>
      <c r="D636" s="43">
        <v>960000</v>
      </c>
      <c r="E636" s="44">
        <v>1</v>
      </c>
      <c r="F636" s="545">
        <v>1.5286</v>
      </c>
      <c r="G636" s="545">
        <v>1.5336000000000001</v>
      </c>
      <c r="H636" s="153">
        <f t="shared" si="57"/>
        <v>5.0000000000001155E-3</v>
      </c>
      <c r="I636" s="46">
        <v>8.4999999999999995E-4</v>
      </c>
      <c r="J636" s="46">
        <v>8.4999999999999995E-4</v>
      </c>
      <c r="K636" s="194">
        <f>(G636-F636)*D636*E636</f>
        <v>4800.000000000111</v>
      </c>
    </row>
    <row r="637" spans="1:12" s="4" customFormat="1" x14ac:dyDescent="0.2">
      <c r="A637" s="1309"/>
      <c r="B637" s="61" t="s">
        <v>167</v>
      </c>
      <c r="C637" s="62"/>
      <c r="D637" s="62"/>
      <c r="E637" s="63"/>
      <c r="F637" s="66"/>
      <c r="G637" s="66"/>
      <c r="H637" s="65"/>
      <c r="I637" s="66"/>
      <c r="J637" s="66"/>
      <c r="K637" s="576">
        <f>K635-K636</f>
        <v>49512143.999999784</v>
      </c>
      <c r="L637" s="896">
        <v>6</v>
      </c>
    </row>
    <row r="638" spans="1:12" x14ac:dyDescent="0.2">
      <c r="A638" s="1309"/>
      <c r="B638" s="42" t="s">
        <v>168</v>
      </c>
      <c r="C638" s="43">
        <v>50500596</v>
      </c>
      <c r="D638" s="43">
        <v>120000</v>
      </c>
      <c r="E638" s="44">
        <v>1</v>
      </c>
      <c r="F638" s="546">
        <v>1983.5757000000001</v>
      </c>
      <c r="G638" s="546">
        <v>1983.5757000000001</v>
      </c>
      <c r="H638" s="46">
        <f t="shared" si="57"/>
        <v>0</v>
      </c>
      <c r="I638" s="46"/>
      <c r="J638" s="46"/>
      <c r="K638" s="194">
        <f t="shared" ref="K638:K641" si="61">(G638-F638)*D638*E638</f>
        <v>0</v>
      </c>
    </row>
    <row r="639" spans="1:12" x14ac:dyDescent="0.2">
      <c r="A639" s="1309"/>
      <c r="B639" s="42" t="s">
        <v>169</v>
      </c>
      <c r="C639" s="43">
        <v>50499437</v>
      </c>
      <c r="D639" s="43">
        <v>120000</v>
      </c>
      <c r="E639" s="44">
        <v>1</v>
      </c>
      <c r="F639" s="546">
        <v>9890.4390000000003</v>
      </c>
      <c r="G639" s="546">
        <v>9994.2877000000008</v>
      </c>
      <c r="H639" s="46">
        <f t="shared" si="57"/>
        <v>103.84870000000046</v>
      </c>
      <c r="I639" s="46"/>
      <c r="J639" s="46"/>
      <c r="K639" s="194">
        <f t="shared" si="61"/>
        <v>12461844.000000056</v>
      </c>
    </row>
    <row r="640" spans="1:12" x14ac:dyDescent="0.2">
      <c r="A640" s="1309"/>
      <c r="B640" s="42" t="s">
        <v>170</v>
      </c>
      <c r="C640" s="43">
        <v>50500595</v>
      </c>
      <c r="D640" s="43">
        <v>120000</v>
      </c>
      <c r="E640" s="44">
        <v>1</v>
      </c>
      <c r="F640" s="546">
        <v>3437.7395000000001</v>
      </c>
      <c r="G640" s="546">
        <v>3487.2204000000002</v>
      </c>
      <c r="H640" s="46">
        <f t="shared" si="57"/>
        <v>49.48090000000002</v>
      </c>
      <c r="I640" s="46"/>
      <c r="J640" s="46"/>
      <c r="K640" s="194">
        <f t="shared" si="61"/>
        <v>5937708.0000000028</v>
      </c>
    </row>
    <row r="641" spans="1:12" x14ac:dyDescent="0.2">
      <c r="A641" s="1309"/>
      <c r="B641" s="42" t="s">
        <v>171</v>
      </c>
      <c r="C641" s="144">
        <v>50500565</v>
      </c>
      <c r="D641" s="43">
        <v>120000</v>
      </c>
      <c r="E641" s="44">
        <v>1</v>
      </c>
      <c r="F641" s="546">
        <v>8961.3550999999989</v>
      </c>
      <c r="G641" s="546">
        <v>9077.6429000000007</v>
      </c>
      <c r="H641" s="46">
        <f t="shared" si="57"/>
        <v>116.28780000000188</v>
      </c>
      <c r="I641" s="46"/>
      <c r="J641" s="46"/>
      <c r="K641" s="198">
        <f t="shared" si="61"/>
        <v>13954536.000000225</v>
      </c>
    </row>
    <row r="642" spans="1:12" x14ac:dyDescent="0.2">
      <c r="A642" s="1309"/>
      <c r="B642" s="42" t="s">
        <v>172</v>
      </c>
      <c r="C642" s="144">
        <v>50500566</v>
      </c>
      <c r="D642" s="43">
        <v>120000</v>
      </c>
      <c r="E642" s="44">
        <v>1</v>
      </c>
      <c r="F642" s="546">
        <v>1122.2591</v>
      </c>
      <c r="G642" s="546">
        <v>1122.2591</v>
      </c>
      <c r="H642" s="46">
        <f t="shared" si="57"/>
        <v>0</v>
      </c>
      <c r="I642" s="46"/>
      <c r="J642" s="46"/>
      <c r="K642" s="198">
        <f>(G642-F642)*D642*E642</f>
        <v>0</v>
      </c>
    </row>
    <row r="643" spans="1:12" x14ac:dyDescent="0.2">
      <c r="A643" s="1309"/>
      <c r="B643" s="42" t="s">
        <v>173</v>
      </c>
      <c r="C643" s="144">
        <v>50499438</v>
      </c>
      <c r="D643" s="43">
        <v>120000</v>
      </c>
      <c r="E643" s="44">
        <v>1</v>
      </c>
      <c r="F643" s="546">
        <v>2061.9371000000001</v>
      </c>
      <c r="G643" s="546">
        <v>2061.9389999999999</v>
      </c>
      <c r="H643" s="46">
        <f t="shared" si="57"/>
        <v>1.8999999997504347E-3</v>
      </c>
      <c r="I643" s="46"/>
      <c r="J643" s="46"/>
      <c r="K643" s="198">
        <f>(G643-F643)*D643*E643</f>
        <v>227.99999997005216</v>
      </c>
    </row>
    <row r="644" spans="1:12" x14ac:dyDescent="0.2">
      <c r="A644" s="1309"/>
      <c r="B644" s="59" t="s">
        <v>8</v>
      </c>
      <c r="C644" s="43"/>
      <c r="D644" s="43"/>
      <c r="E644" s="44"/>
      <c r="F644" s="46"/>
      <c r="G644" s="46"/>
      <c r="H644" s="46"/>
      <c r="I644" s="46"/>
      <c r="J644" s="46"/>
      <c r="K644" s="195">
        <f>SUM(K638:K643)</f>
        <v>32354316.000000253</v>
      </c>
    </row>
    <row r="645" spans="1:12" x14ac:dyDescent="0.2">
      <c r="A645" s="1309"/>
      <c r="B645" s="42" t="s">
        <v>174</v>
      </c>
      <c r="C645" s="43">
        <v>50500596</v>
      </c>
      <c r="D645" s="43">
        <v>120000</v>
      </c>
      <c r="E645" s="44">
        <v>1</v>
      </c>
      <c r="F645" s="547">
        <v>144.02799999999999</v>
      </c>
      <c r="G645" s="547">
        <v>144.02799999999999</v>
      </c>
      <c r="H645" s="46">
        <f t="shared" si="57"/>
        <v>0</v>
      </c>
      <c r="I645" s="46"/>
      <c r="J645" s="46"/>
      <c r="K645" s="194">
        <f t="shared" ref="K645:K651" si="62">(G645-F645)*D645*E645</f>
        <v>0</v>
      </c>
    </row>
    <row r="646" spans="1:12" x14ac:dyDescent="0.2">
      <c r="A646" s="1309"/>
      <c r="B646" s="42" t="s">
        <v>174</v>
      </c>
      <c r="C646" s="43">
        <v>50499437</v>
      </c>
      <c r="D646" s="43">
        <v>120000</v>
      </c>
      <c r="E646" s="44">
        <v>1</v>
      </c>
      <c r="F646" s="547">
        <v>22.335799999999999</v>
      </c>
      <c r="G646" s="547">
        <v>23.0504</v>
      </c>
      <c r="H646" s="46">
        <f t="shared" si="57"/>
        <v>0.71460000000000079</v>
      </c>
      <c r="I646" s="46"/>
      <c r="J646" s="46"/>
      <c r="K646" s="194">
        <f t="shared" si="62"/>
        <v>85752.000000000102</v>
      </c>
    </row>
    <row r="647" spans="1:12" x14ac:dyDescent="0.2">
      <c r="A647" s="1309"/>
      <c r="B647" s="42" t="s">
        <v>1301</v>
      </c>
      <c r="C647" s="43">
        <v>50500595</v>
      </c>
      <c r="D647" s="43">
        <v>120000</v>
      </c>
      <c r="E647" s="44">
        <v>1</v>
      </c>
      <c r="F647" s="547">
        <v>25.0959</v>
      </c>
      <c r="G647" s="547">
        <v>25.0959</v>
      </c>
      <c r="H647" s="46">
        <f t="shared" si="57"/>
        <v>0</v>
      </c>
      <c r="I647" s="46"/>
      <c r="J647" s="46"/>
      <c r="K647" s="194">
        <f t="shared" si="62"/>
        <v>0</v>
      </c>
    </row>
    <row r="648" spans="1:12" x14ac:dyDescent="0.2">
      <c r="A648" s="1309"/>
      <c r="B648" s="47" t="s">
        <v>175</v>
      </c>
      <c r="C648" s="43">
        <v>50500565</v>
      </c>
      <c r="D648" s="43">
        <v>120000</v>
      </c>
      <c r="E648" s="44">
        <v>1</v>
      </c>
      <c r="F648" s="547">
        <v>6.7538</v>
      </c>
      <c r="G648" s="547">
        <v>6.9367999999999999</v>
      </c>
      <c r="H648" s="46">
        <f t="shared" si="57"/>
        <v>0.18299999999999983</v>
      </c>
      <c r="I648" s="46"/>
      <c r="J648" s="46"/>
      <c r="K648" s="194">
        <f t="shared" si="62"/>
        <v>21959.999999999978</v>
      </c>
    </row>
    <row r="649" spans="1:12" x14ac:dyDescent="0.2">
      <c r="A649" s="1309"/>
      <c r="B649" s="157" t="s">
        <v>1294</v>
      </c>
      <c r="C649" s="43">
        <v>50500566</v>
      </c>
      <c r="D649" s="43">
        <v>120000</v>
      </c>
      <c r="E649" s="44">
        <v>1</v>
      </c>
      <c r="F649" s="547">
        <v>7.5940000000000003</v>
      </c>
      <c r="G649" s="547">
        <v>7.5940000000000003</v>
      </c>
      <c r="H649" s="46">
        <f t="shared" si="57"/>
        <v>0</v>
      </c>
      <c r="I649" s="46"/>
      <c r="J649" s="46"/>
      <c r="K649" s="194">
        <f t="shared" si="62"/>
        <v>0</v>
      </c>
    </row>
    <row r="650" spans="1:12" x14ac:dyDescent="0.2">
      <c r="A650" s="1309"/>
      <c r="B650" s="157" t="s">
        <v>1295</v>
      </c>
      <c r="C650" s="43">
        <v>50499438</v>
      </c>
      <c r="D650" s="43">
        <v>120000</v>
      </c>
      <c r="E650" s="44">
        <v>1</v>
      </c>
      <c r="F650" s="547">
        <v>4.3526000000000007</v>
      </c>
      <c r="G650" s="547">
        <v>4.8029000000000002</v>
      </c>
      <c r="H650" s="46">
        <f t="shared" si="57"/>
        <v>0.45029999999999948</v>
      </c>
      <c r="I650" s="46"/>
      <c r="J650" s="46"/>
      <c r="K650" s="194">
        <f t="shared" si="62"/>
        <v>54035.999999999935</v>
      </c>
    </row>
    <row r="651" spans="1:12" x14ac:dyDescent="0.2">
      <c r="A651" s="1309"/>
      <c r="B651" s="157" t="s">
        <v>1315</v>
      </c>
      <c r="C651" s="43">
        <v>50148239</v>
      </c>
      <c r="D651" s="43">
        <v>120000</v>
      </c>
      <c r="E651" s="44">
        <v>1</v>
      </c>
      <c r="F651" s="547">
        <v>1311.5138999999999</v>
      </c>
      <c r="G651" s="547">
        <v>1325.5763999999999</v>
      </c>
      <c r="H651" s="46">
        <f t="shared" si="57"/>
        <v>14.0625</v>
      </c>
      <c r="I651" s="46"/>
      <c r="J651" s="46"/>
      <c r="K651" s="194">
        <f t="shared" si="62"/>
        <v>1687500</v>
      </c>
    </row>
    <row r="652" spans="1:12" x14ac:dyDescent="0.2">
      <c r="A652" s="1309"/>
      <c r="B652" s="50" t="s">
        <v>52</v>
      </c>
      <c r="C652" s="43"/>
      <c r="D652" s="43"/>
      <c r="E652" s="44"/>
      <c r="F652" s="478"/>
      <c r="G652" s="127"/>
      <c r="H652" s="46"/>
      <c r="I652" s="46"/>
      <c r="J652" s="46"/>
      <c r="K652" s="195">
        <f>K645+K646+K647+K648+K649+K650+K651</f>
        <v>1849248</v>
      </c>
    </row>
    <row r="653" spans="1:12" s="4" customFormat="1" x14ac:dyDescent="0.2">
      <c r="A653" s="1309"/>
      <c r="B653" s="145" t="s">
        <v>176</v>
      </c>
      <c r="C653" s="62"/>
      <c r="D653" s="62"/>
      <c r="E653" s="63"/>
      <c r="F653" s="63"/>
      <c r="G653" s="146"/>
      <c r="H653" s="65"/>
      <c r="I653" s="66"/>
      <c r="J653" s="66"/>
      <c r="K653" s="576">
        <f>K644-K652</f>
        <v>30505068.000000253</v>
      </c>
      <c r="L653" s="896">
        <v>7</v>
      </c>
    </row>
    <row r="654" spans="1:12" x14ac:dyDescent="0.2">
      <c r="A654" s="1309"/>
      <c r="B654" s="122" t="s">
        <v>177</v>
      </c>
      <c r="C654" s="147" t="s">
        <v>178</v>
      </c>
      <c r="D654" s="43">
        <v>100</v>
      </c>
      <c r="E654" s="44">
        <v>1</v>
      </c>
      <c r="F654" s="52">
        <v>4348580.1500000004</v>
      </c>
      <c r="G654" s="52">
        <v>4348580.1500000004</v>
      </c>
      <c r="H654" s="87">
        <f t="shared" ref="H654:H678" si="63">G654-F654</f>
        <v>0</v>
      </c>
      <c r="I654" s="46">
        <v>3032183.3599999626</v>
      </c>
      <c r="J654" s="46">
        <v>3032183.3599999626</v>
      </c>
      <c r="K654" s="194">
        <f t="shared" ref="K654:K659" si="64">(G654-F654)*D654*E654</f>
        <v>0</v>
      </c>
    </row>
    <row r="655" spans="1:12" x14ac:dyDescent="0.2">
      <c r="A655" s="1309"/>
      <c r="B655" s="122" t="s">
        <v>179</v>
      </c>
      <c r="C655" s="147" t="s">
        <v>178</v>
      </c>
      <c r="D655" s="43">
        <v>100</v>
      </c>
      <c r="E655" s="44">
        <v>1</v>
      </c>
      <c r="F655" s="52">
        <v>2601</v>
      </c>
      <c r="G655" s="52">
        <v>2601</v>
      </c>
      <c r="H655" s="87">
        <f t="shared" si="63"/>
        <v>0</v>
      </c>
      <c r="I655" s="46">
        <v>648.1</v>
      </c>
      <c r="J655" s="46">
        <v>648.1</v>
      </c>
      <c r="K655" s="194">
        <f t="shared" si="64"/>
        <v>0</v>
      </c>
    </row>
    <row r="656" spans="1:12" x14ac:dyDescent="0.2">
      <c r="A656" s="1309"/>
      <c r="B656" s="122" t="s">
        <v>177</v>
      </c>
      <c r="C656" s="147">
        <v>214028211</v>
      </c>
      <c r="D656" s="148">
        <v>600000</v>
      </c>
      <c r="E656" s="44">
        <v>1</v>
      </c>
      <c r="F656" s="548">
        <v>5337.6338100000003</v>
      </c>
      <c r="G656" s="548">
        <v>5337.6338100000003</v>
      </c>
      <c r="H656" s="87">
        <f t="shared" si="63"/>
        <v>0</v>
      </c>
      <c r="I656" s="46"/>
      <c r="J656" s="46"/>
      <c r="K656" s="194">
        <f t="shared" si="64"/>
        <v>0</v>
      </c>
    </row>
    <row r="657" spans="1:12" x14ac:dyDescent="0.2">
      <c r="A657" s="1309"/>
      <c r="B657" s="122" t="s">
        <v>365</v>
      </c>
      <c r="C657" s="147">
        <v>214028211</v>
      </c>
      <c r="D657" s="148">
        <v>600000</v>
      </c>
      <c r="E657" s="44">
        <v>1</v>
      </c>
      <c r="F657" s="548">
        <v>2.64968</v>
      </c>
      <c r="G657" s="548">
        <v>2.6740499999999998</v>
      </c>
      <c r="H657" s="87">
        <f t="shared" si="63"/>
        <v>2.4369999999999781E-2</v>
      </c>
      <c r="I657" s="46"/>
      <c r="J657" s="46"/>
      <c r="K657" s="194">
        <f t="shared" si="64"/>
        <v>14621.999999999869</v>
      </c>
    </row>
    <row r="658" spans="1:12" x14ac:dyDescent="0.2">
      <c r="A658" s="1309"/>
      <c r="B658" s="122" t="s">
        <v>177</v>
      </c>
      <c r="C658" s="147" t="s">
        <v>364</v>
      </c>
      <c r="D658" s="43">
        <v>100</v>
      </c>
      <c r="E658" s="44">
        <v>1</v>
      </c>
      <c r="F658" s="52">
        <v>4302614.46</v>
      </c>
      <c r="G658" s="52">
        <v>4302614.46</v>
      </c>
      <c r="H658" s="87">
        <f t="shared" si="63"/>
        <v>0</v>
      </c>
      <c r="I658" s="46"/>
      <c r="J658" s="46"/>
      <c r="K658" s="194">
        <f t="shared" si="64"/>
        <v>0</v>
      </c>
    </row>
    <row r="659" spans="1:12" x14ac:dyDescent="0.2">
      <c r="A659" s="1309"/>
      <c r="B659" s="122" t="s">
        <v>365</v>
      </c>
      <c r="C659" s="147" t="s">
        <v>364</v>
      </c>
      <c r="D659" s="43">
        <v>100</v>
      </c>
      <c r="E659" s="44">
        <v>1</v>
      </c>
      <c r="F659" s="52">
        <v>1503.3</v>
      </c>
      <c r="G659" s="52">
        <v>1503.3</v>
      </c>
      <c r="H659" s="87">
        <f t="shared" si="63"/>
        <v>0</v>
      </c>
      <c r="I659" s="46"/>
      <c r="J659" s="46"/>
      <c r="K659" s="194">
        <f t="shared" si="64"/>
        <v>0</v>
      </c>
    </row>
    <row r="660" spans="1:12" x14ac:dyDescent="0.2">
      <c r="A660" s="1309"/>
      <c r="B660" s="59" t="s">
        <v>367</v>
      </c>
      <c r="C660" s="147"/>
      <c r="D660" s="43"/>
      <c r="E660" s="44"/>
      <c r="F660" s="52"/>
      <c r="G660" s="52"/>
      <c r="H660" s="87"/>
      <c r="I660" s="46"/>
      <c r="J660" s="46"/>
      <c r="K660" s="195">
        <f>K654+K656+K658</f>
        <v>0</v>
      </c>
    </row>
    <row r="661" spans="1:12" x14ac:dyDescent="0.2">
      <c r="A661" s="1309"/>
      <c r="B661" s="59" t="s">
        <v>368</v>
      </c>
      <c r="C661" s="147"/>
      <c r="D661" s="43"/>
      <c r="E661" s="44"/>
      <c r="F661" s="52"/>
      <c r="G661" s="52"/>
      <c r="H661" s="87"/>
      <c r="I661" s="46"/>
      <c r="J661" s="46"/>
      <c r="K661" s="195">
        <f>K655+K657+K659</f>
        <v>14621.999999999869</v>
      </c>
    </row>
    <row r="662" spans="1:12" s="4" customFormat="1" x14ac:dyDescent="0.2">
      <c r="A662" s="1309"/>
      <c r="B662" s="61" t="s">
        <v>180</v>
      </c>
      <c r="C662" s="62"/>
      <c r="D662" s="62"/>
      <c r="E662" s="63"/>
      <c r="F662" s="121"/>
      <c r="G662" s="121"/>
      <c r="H662" s="90"/>
      <c r="I662" s="66"/>
      <c r="J662" s="66"/>
      <c r="K662" s="576">
        <f>K660-K661</f>
        <v>-14621.999999999869</v>
      </c>
      <c r="L662" s="896">
        <v>8</v>
      </c>
    </row>
    <row r="663" spans="1:12" ht="15" customHeight="1" x14ac:dyDescent="0.2">
      <c r="A663" s="1309"/>
      <c r="B663" s="42" t="s">
        <v>181</v>
      </c>
      <c r="C663" s="43">
        <v>12393390</v>
      </c>
      <c r="D663" s="43">
        <v>72000</v>
      </c>
      <c r="E663" s="44">
        <v>1</v>
      </c>
      <c r="F663" s="549">
        <v>48268.946550000001</v>
      </c>
      <c r="G663" s="549">
        <v>48268.946550000001</v>
      </c>
      <c r="H663" s="87">
        <f t="shared" si="63"/>
        <v>0</v>
      </c>
      <c r="I663" s="46">
        <v>2056.3885500000001</v>
      </c>
      <c r="J663" s="46">
        <v>2056.3885500000001</v>
      </c>
      <c r="K663" s="194">
        <f>(G663-F663)*D663*E663</f>
        <v>0</v>
      </c>
    </row>
    <row r="664" spans="1:12" ht="16.5" customHeight="1" x14ac:dyDescent="0.2">
      <c r="A664" s="1309"/>
      <c r="B664" s="42" t="s">
        <v>182</v>
      </c>
      <c r="C664" s="43">
        <v>12393390</v>
      </c>
      <c r="D664" s="43">
        <v>72000</v>
      </c>
      <c r="E664" s="44">
        <v>1</v>
      </c>
      <c r="F664" s="549">
        <v>43.736649999999997</v>
      </c>
      <c r="G664" s="549">
        <v>44.268650000000001</v>
      </c>
      <c r="H664" s="87">
        <f t="shared" si="63"/>
        <v>0.53200000000000358</v>
      </c>
      <c r="I664" s="46">
        <v>0.56894999999999996</v>
      </c>
      <c r="J664" s="46">
        <v>0.56894999999999996</v>
      </c>
      <c r="K664" s="194">
        <f>(G664-F664)*D664*E664</f>
        <v>38304.000000000255</v>
      </c>
    </row>
    <row r="665" spans="1:12" s="4" customFormat="1" x14ac:dyDescent="0.2">
      <c r="A665" s="1309"/>
      <c r="B665" s="61" t="s">
        <v>183</v>
      </c>
      <c r="C665" s="62"/>
      <c r="D665" s="62"/>
      <c r="E665" s="63"/>
      <c r="F665" s="121"/>
      <c r="G665" s="121"/>
      <c r="H665" s="90"/>
      <c r="I665" s="66"/>
      <c r="J665" s="66"/>
      <c r="K665" s="576">
        <f>K663-K664</f>
        <v>-38304.000000000255</v>
      </c>
      <c r="L665" s="896">
        <v>9</v>
      </c>
    </row>
    <row r="666" spans="1:12" x14ac:dyDescent="0.2">
      <c r="A666" s="1309"/>
      <c r="B666" s="42" t="s">
        <v>184</v>
      </c>
      <c r="C666" s="43">
        <v>50148240</v>
      </c>
      <c r="D666" s="43">
        <v>180000</v>
      </c>
      <c r="E666" s="44">
        <v>1</v>
      </c>
      <c r="F666" s="550">
        <v>3131.0432999999998</v>
      </c>
      <c r="G666" s="550">
        <v>3158.0522999999998</v>
      </c>
      <c r="H666" s="516">
        <f>G666-F666</f>
        <v>27.009000000000015</v>
      </c>
      <c r="I666" s="516"/>
      <c r="J666" s="516"/>
      <c r="K666" s="417">
        <f>(G666-F666)*D666*E666</f>
        <v>4861620.0000000028</v>
      </c>
    </row>
    <row r="667" spans="1:12" x14ac:dyDescent="0.2">
      <c r="A667" s="1309"/>
      <c r="B667" s="42" t="s">
        <v>185</v>
      </c>
      <c r="C667" s="43">
        <v>50148240</v>
      </c>
      <c r="D667" s="43">
        <v>180000</v>
      </c>
      <c r="E667" s="44">
        <v>1</v>
      </c>
      <c r="F667" s="550">
        <v>1.6096999999999999</v>
      </c>
      <c r="G667" s="550">
        <v>1.7004999999999999</v>
      </c>
      <c r="H667" s="516">
        <f t="shared" si="63"/>
        <v>9.0799999999999992E-2</v>
      </c>
      <c r="I667" s="516"/>
      <c r="J667" s="516"/>
      <c r="K667" s="417">
        <f>(G667-F667)*D667*E667</f>
        <v>16343.999999999998</v>
      </c>
    </row>
    <row r="668" spans="1:12" s="4" customFormat="1" x14ac:dyDescent="0.2">
      <c r="A668" s="1309"/>
      <c r="B668" s="61" t="s">
        <v>186</v>
      </c>
      <c r="C668" s="62"/>
      <c r="D668" s="62"/>
      <c r="E668" s="63"/>
      <c r="F668" s="517"/>
      <c r="G668" s="517"/>
      <c r="H668" s="453"/>
      <c r="I668" s="454"/>
      <c r="J668" s="454"/>
      <c r="K668" s="593">
        <f>K666-K667</f>
        <v>4845276.0000000028</v>
      </c>
      <c r="L668" s="896">
        <v>10</v>
      </c>
    </row>
    <row r="669" spans="1:12" x14ac:dyDescent="0.2">
      <c r="A669" s="1309"/>
      <c r="B669" s="47" t="s">
        <v>187</v>
      </c>
      <c r="C669" s="149" t="s">
        <v>1270</v>
      </c>
      <c r="D669" s="54">
        <v>18000</v>
      </c>
      <c r="E669" s="55">
        <v>1</v>
      </c>
      <c r="F669" s="551">
        <v>41186.288074999997</v>
      </c>
      <c r="G669" s="551">
        <v>41186.288074999997</v>
      </c>
      <c r="H669" s="81">
        <f t="shared" si="63"/>
        <v>0</v>
      </c>
      <c r="I669" s="57">
        <v>495.600325</v>
      </c>
      <c r="J669" s="57">
        <v>495.600325</v>
      </c>
      <c r="K669" s="196">
        <f>(G669-F669)*D669*E669</f>
        <v>0</v>
      </c>
    </row>
    <row r="670" spans="1:12" x14ac:dyDescent="0.2">
      <c r="A670" s="1309"/>
      <c r="B670" s="47" t="s">
        <v>188</v>
      </c>
      <c r="C670" s="149" t="s">
        <v>1270</v>
      </c>
      <c r="D670" s="54">
        <v>18000</v>
      </c>
      <c r="E670" s="55">
        <v>1</v>
      </c>
      <c r="F670" s="551">
        <v>45.523924999999998</v>
      </c>
      <c r="G670" s="551">
        <v>45.679000000000002</v>
      </c>
      <c r="H670" s="81">
        <f t="shared" si="63"/>
        <v>0.15507500000000363</v>
      </c>
      <c r="I670" s="57">
        <v>1.05585</v>
      </c>
      <c r="J670" s="57">
        <v>1.05585</v>
      </c>
      <c r="K670" s="196">
        <f>(G670-F670)*D670*E670</f>
        <v>2791.3500000000654</v>
      </c>
    </row>
    <row r="671" spans="1:12" s="4" customFormat="1" x14ac:dyDescent="0.2">
      <c r="A671" s="1309"/>
      <c r="B671" s="61" t="s">
        <v>189</v>
      </c>
      <c r="C671" s="62"/>
      <c r="D671" s="62"/>
      <c r="E671" s="63"/>
      <c r="F671" s="121"/>
      <c r="G671" s="121"/>
      <c r="H671" s="90"/>
      <c r="I671" s="66"/>
      <c r="J671" s="66"/>
      <c r="K671" s="576">
        <f>K669-K670</f>
        <v>-2791.3500000000654</v>
      </c>
      <c r="L671" s="896">
        <v>11</v>
      </c>
    </row>
    <row r="672" spans="1:12" ht="15" customHeight="1" x14ac:dyDescent="0.2">
      <c r="A672" s="1309"/>
      <c r="B672" s="1169" t="s">
        <v>190</v>
      </c>
      <c r="C672" s="1170">
        <v>95154227</v>
      </c>
      <c r="D672" s="1170">
        <v>2000</v>
      </c>
      <c r="E672" s="1171">
        <v>1</v>
      </c>
      <c r="F672" s="1172">
        <v>649695.80000000005</v>
      </c>
      <c r="G672" s="1172">
        <v>649695.80000000005</v>
      </c>
      <c r="H672" s="1173">
        <f t="shared" si="63"/>
        <v>0</v>
      </c>
      <c r="I672" s="1173">
        <v>250048.07</v>
      </c>
      <c r="J672" s="1173">
        <v>250048.07</v>
      </c>
      <c r="K672" s="1174">
        <f>(G672-F672)*D672*E672</f>
        <v>0</v>
      </c>
    </row>
    <row r="673" spans="1:12" x14ac:dyDescent="0.2">
      <c r="A673" s="1309"/>
      <c r="B673" s="1169" t="s">
        <v>191</v>
      </c>
      <c r="C673" s="1170">
        <v>95154227</v>
      </c>
      <c r="D673" s="1170">
        <v>2000</v>
      </c>
      <c r="E673" s="1171">
        <v>1</v>
      </c>
      <c r="F673" s="1172">
        <v>659.54</v>
      </c>
      <c r="G673" s="1172">
        <v>659.54</v>
      </c>
      <c r="H673" s="1173">
        <f t="shared" si="63"/>
        <v>0</v>
      </c>
      <c r="I673" s="1173">
        <v>32.07</v>
      </c>
      <c r="J673" s="1173">
        <v>32.07</v>
      </c>
      <c r="K673" s="1174">
        <f>(G673-F673)*D673*E673</f>
        <v>0</v>
      </c>
    </row>
    <row r="674" spans="1:12" s="4" customFormat="1" x14ac:dyDescent="0.2">
      <c r="A674" s="1309"/>
      <c r="B674" s="1175" t="s">
        <v>192</v>
      </c>
      <c r="C674" s="1176"/>
      <c r="D674" s="1176"/>
      <c r="E674" s="1177"/>
      <c r="F674" s="1177"/>
      <c r="G674" s="1178"/>
      <c r="H674" s="1179"/>
      <c r="I674" s="1180"/>
      <c r="J674" s="1180"/>
      <c r="K674" s="1181">
        <f>K672-K673</f>
        <v>0</v>
      </c>
      <c r="L674" s="896">
        <v>12</v>
      </c>
    </row>
    <row r="675" spans="1:12" x14ac:dyDescent="0.2">
      <c r="A675" s="1309"/>
      <c r="B675" s="456" t="s">
        <v>193</v>
      </c>
      <c r="C675" s="51" t="s">
        <v>1222</v>
      </c>
      <c r="D675" s="43">
        <v>1440000</v>
      </c>
      <c r="E675" s="44">
        <v>1</v>
      </c>
      <c r="F675" s="552">
        <v>2872.5616</v>
      </c>
      <c r="G675" s="552">
        <v>2915.6082999999999</v>
      </c>
      <c r="H675" s="87">
        <f t="shared" si="63"/>
        <v>43.046699999999873</v>
      </c>
      <c r="I675" s="46"/>
      <c r="J675" s="46"/>
      <c r="K675" s="194">
        <f t="shared" ref="K675:K678" si="65">(G675-F675)*D675*E675</f>
        <v>61987247.999999821</v>
      </c>
    </row>
    <row r="676" spans="1:12" x14ac:dyDescent="0.2">
      <c r="A676" s="1309"/>
      <c r="B676" s="456" t="s">
        <v>1223</v>
      </c>
      <c r="C676" s="51" t="s">
        <v>1222</v>
      </c>
      <c r="D676" s="43">
        <v>1440000</v>
      </c>
      <c r="E676" s="44">
        <v>1</v>
      </c>
      <c r="F676" s="552">
        <v>1.5946</v>
      </c>
      <c r="G676" s="552">
        <v>1.6284000000000001</v>
      </c>
      <c r="H676" s="87">
        <f t="shared" si="63"/>
        <v>3.3800000000000052E-2</v>
      </c>
      <c r="I676" s="46"/>
      <c r="J676" s="46"/>
      <c r="K676" s="194">
        <f t="shared" si="65"/>
        <v>48672.000000000073</v>
      </c>
    </row>
    <row r="677" spans="1:12" x14ac:dyDescent="0.2">
      <c r="A677" s="1309"/>
      <c r="B677" s="456" t="s">
        <v>1183</v>
      </c>
      <c r="C677" s="51" t="s">
        <v>1252</v>
      </c>
      <c r="D677" s="43">
        <v>960000</v>
      </c>
      <c r="E677" s="44">
        <v>1</v>
      </c>
      <c r="F677" s="524">
        <v>1817.2931000000001</v>
      </c>
      <c r="G677" s="524">
        <v>1853.7593999999999</v>
      </c>
      <c r="H677" s="87">
        <f t="shared" si="63"/>
        <v>36.466299999999819</v>
      </c>
      <c r="I677" s="46"/>
      <c r="J677" s="46"/>
      <c r="K677" s="194">
        <f t="shared" si="65"/>
        <v>35007647.999999829</v>
      </c>
    </row>
    <row r="678" spans="1:12" x14ac:dyDescent="0.2">
      <c r="A678" s="1309"/>
      <c r="B678" s="456" t="s">
        <v>1184</v>
      </c>
      <c r="C678" s="51" t="s">
        <v>1252</v>
      </c>
      <c r="D678" s="43">
        <v>960000</v>
      </c>
      <c r="E678" s="44">
        <v>1</v>
      </c>
      <c r="F678" s="524">
        <v>17.0609</v>
      </c>
      <c r="G678" s="524">
        <v>17.3506</v>
      </c>
      <c r="H678" s="87">
        <f t="shared" si="63"/>
        <v>0.28969999999999985</v>
      </c>
      <c r="I678" s="46"/>
      <c r="J678" s="46"/>
      <c r="K678" s="194">
        <f t="shared" si="65"/>
        <v>278111.99999999983</v>
      </c>
    </row>
    <row r="679" spans="1:12" x14ac:dyDescent="0.2">
      <c r="A679" s="1309"/>
      <c r="B679" s="456"/>
      <c r="C679" s="51"/>
      <c r="D679" s="43"/>
      <c r="E679" s="44"/>
      <c r="F679" s="70"/>
      <c r="G679" s="70"/>
      <c r="H679" s="87"/>
      <c r="I679" s="46"/>
      <c r="J679" s="46"/>
      <c r="K679" s="195">
        <f>K675+K677</f>
        <v>96994895.999999642</v>
      </c>
    </row>
    <row r="680" spans="1:12" x14ac:dyDescent="0.2">
      <c r="A680" s="1309"/>
      <c r="B680" s="456"/>
      <c r="C680" s="51"/>
      <c r="D680" s="43"/>
      <c r="E680" s="44"/>
      <c r="F680" s="70"/>
      <c r="G680" s="70"/>
      <c r="H680" s="87"/>
      <c r="I680" s="46"/>
      <c r="J680" s="46"/>
      <c r="K680" s="195">
        <f>K676+K678</f>
        <v>326783.99999999988</v>
      </c>
    </row>
    <row r="681" spans="1:12" s="4" customFormat="1" x14ac:dyDescent="0.2">
      <c r="A681" s="1309"/>
      <c r="B681" s="150" t="s">
        <v>194</v>
      </c>
      <c r="C681" s="62"/>
      <c r="D681" s="62"/>
      <c r="E681" s="63"/>
      <c r="F681" s="121"/>
      <c r="G681" s="121"/>
      <c r="H681" s="90"/>
      <c r="I681" s="66"/>
      <c r="J681" s="66"/>
      <c r="K681" s="577">
        <f>K679-K680</f>
        <v>96668111.999999642</v>
      </c>
      <c r="L681" s="896">
        <v>13</v>
      </c>
    </row>
    <row r="682" spans="1:12" s="4" customFormat="1" x14ac:dyDescent="0.2">
      <c r="A682" s="1309"/>
      <c r="B682" s="295" t="s">
        <v>430</v>
      </c>
      <c r="C682" s="78">
        <v>2798804</v>
      </c>
      <c r="D682" s="78">
        <v>480000</v>
      </c>
      <c r="E682" s="79">
        <v>1</v>
      </c>
      <c r="F682" s="521">
        <v>30552.3472</v>
      </c>
      <c r="G682" s="521">
        <v>30837.212974999999</v>
      </c>
      <c r="H682" s="81">
        <f>G682-F682</f>
        <v>284.86577499999839</v>
      </c>
      <c r="I682" s="81"/>
      <c r="J682" s="81"/>
      <c r="K682" s="201">
        <f>(G682-F682)*D682*E682</f>
        <v>136735571.99999923</v>
      </c>
      <c r="L682" s="749"/>
    </row>
    <row r="683" spans="1:12" s="4" customFormat="1" x14ac:dyDescent="0.2">
      <c r="A683" s="1309"/>
      <c r="B683" s="295" t="s">
        <v>431</v>
      </c>
      <c r="C683" s="78">
        <v>2786314</v>
      </c>
      <c r="D683" s="78">
        <v>320000</v>
      </c>
      <c r="E683" s="79">
        <v>1</v>
      </c>
      <c r="F683" s="521">
        <v>24601.595574999999</v>
      </c>
      <c r="G683" s="521">
        <v>24841.748625</v>
      </c>
      <c r="H683" s="81">
        <f>G683-F683</f>
        <v>240.1530500000008</v>
      </c>
      <c r="I683" s="81"/>
      <c r="J683" s="81"/>
      <c r="K683" s="201">
        <f>(G683-F683)*D683*E683</f>
        <v>76848976.000000253</v>
      </c>
      <c r="L683" s="749"/>
    </row>
    <row r="684" spans="1:12" s="4" customFormat="1" x14ac:dyDescent="0.2">
      <c r="A684" s="1309"/>
      <c r="B684" s="295"/>
      <c r="C684" s="78"/>
      <c r="D684" s="78"/>
      <c r="E684" s="79"/>
      <c r="F684" s="80"/>
      <c r="G684" s="80"/>
      <c r="H684" s="81"/>
      <c r="I684" s="81"/>
      <c r="J684" s="81"/>
      <c r="K684" s="205">
        <f>K682+K683</f>
        <v>213584547.99999946</v>
      </c>
      <c r="L684" s="749"/>
    </row>
    <row r="685" spans="1:12" s="4" customFormat="1" x14ac:dyDescent="0.2">
      <c r="A685" s="1309"/>
      <c r="B685" s="295" t="s">
        <v>1253</v>
      </c>
      <c r="C685" s="78">
        <v>2798804</v>
      </c>
      <c r="D685" s="78">
        <v>480000</v>
      </c>
      <c r="E685" s="79">
        <v>1</v>
      </c>
      <c r="F685" s="521">
        <v>23.345424999999999</v>
      </c>
      <c r="G685" s="521">
        <v>23.345424999999999</v>
      </c>
      <c r="H685" s="81">
        <f>G685-F685</f>
        <v>0</v>
      </c>
      <c r="I685" s="81"/>
      <c r="J685" s="81"/>
      <c r="K685" s="201">
        <f>(G685-F685)*D685*E685</f>
        <v>0</v>
      </c>
      <c r="L685" s="749"/>
    </row>
    <row r="686" spans="1:12" s="4" customFormat="1" x14ac:dyDescent="0.2">
      <c r="A686" s="1309"/>
      <c r="B686" s="295" t="s">
        <v>449</v>
      </c>
      <c r="C686" s="78">
        <v>2786314</v>
      </c>
      <c r="D686" s="78">
        <v>320000</v>
      </c>
      <c r="E686" s="79">
        <v>1</v>
      </c>
      <c r="F686" s="521">
        <v>61.449475</v>
      </c>
      <c r="G686" s="521">
        <v>61.449475</v>
      </c>
      <c r="H686" s="81">
        <f>G686-F686</f>
        <v>0</v>
      </c>
      <c r="I686" s="81"/>
      <c r="J686" s="81"/>
      <c r="K686" s="201">
        <f>(G686-F686)*D686*E686</f>
        <v>0</v>
      </c>
      <c r="L686" s="749"/>
    </row>
    <row r="687" spans="1:12" x14ac:dyDescent="0.2">
      <c r="A687" s="1309"/>
      <c r="B687" s="59"/>
      <c r="C687" s="85"/>
      <c r="D687" s="85"/>
      <c r="E687" s="86"/>
      <c r="F687" s="52"/>
      <c r="G687" s="52"/>
      <c r="H687" s="87"/>
      <c r="I687" s="87"/>
      <c r="J687" s="87"/>
      <c r="K687" s="199">
        <f>K685+K686</f>
        <v>0</v>
      </c>
    </row>
    <row r="688" spans="1:12" x14ac:dyDescent="0.2">
      <c r="A688" s="1309"/>
      <c r="B688" s="467" t="s">
        <v>432</v>
      </c>
      <c r="C688" s="109"/>
      <c r="D688" s="109"/>
      <c r="E688" s="110"/>
      <c r="F688" s="111"/>
      <c r="G688" s="111"/>
      <c r="H688" s="112"/>
      <c r="I688" s="112"/>
      <c r="J688" s="112"/>
      <c r="K688" s="579">
        <f>K684-K687</f>
        <v>213584547.99999946</v>
      </c>
      <c r="L688" s="749">
        <v>14</v>
      </c>
    </row>
    <row r="689" spans="1:13" x14ac:dyDescent="0.2">
      <c r="A689" s="1309"/>
      <c r="B689" s="295" t="s">
        <v>573</v>
      </c>
      <c r="C689" s="85">
        <v>50501598</v>
      </c>
      <c r="D689" s="85">
        <v>48000</v>
      </c>
      <c r="E689" s="86">
        <v>1</v>
      </c>
      <c r="F689" s="594">
        <v>18672.519899999999</v>
      </c>
      <c r="G689" s="594">
        <v>18672.519899999999</v>
      </c>
      <c r="H689" s="87">
        <f>G689-F689</f>
        <v>0</v>
      </c>
      <c r="I689" s="87"/>
      <c r="J689" s="87"/>
      <c r="K689" s="417">
        <f>(G689-F689)*D689*E689</f>
        <v>0</v>
      </c>
    </row>
    <row r="690" spans="1:13" x14ac:dyDescent="0.2">
      <c r="A690" s="1309"/>
      <c r="B690" s="295" t="s">
        <v>574</v>
      </c>
      <c r="C690" s="85">
        <v>50501598</v>
      </c>
      <c r="D690" s="85">
        <v>48000</v>
      </c>
      <c r="E690" s="86">
        <v>1</v>
      </c>
      <c r="F690" s="594">
        <v>18.554600000000001</v>
      </c>
      <c r="G690" s="594">
        <v>18.593399999999999</v>
      </c>
      <c r="H690" s="87">
        <f>G690-F690</f>
        <v>3.8799999999998391E-2</v>
      </c>
      <c r="I690" s="87"/>
      <c r="J690" s="87"/>
      <c r="K690" s="417">
        <f>(G690-F690)*D690*E690</f>
        <v>1862.3999999999228</v>
      </c>
    </row>
    <row r="691" spans="1:13" x14ac:dyDescent="0.2">
      <c r="A691" s="1309"/>
      <c r="B691" s="469" t="s">
        <v>408</v>
      </c>
      <c r="C691" s="85"/>
      <c r="D691" s="85"/>
      <c r="E691" s="86"/>
      <c r="F691" s="52"/>
      <c r="G691" s="52"/>
      <c r="H691" s="87"/>
      <c r="I691" s="87"/>
      <c r="J691" s="87"/>
      <c r="K691" s="468">
        <f>K689</f>
        <v>0</v>
      </c>
    </row>
    <row r="692" spans="1:13" x14ac:dyDescent="0.2">
      <c r="A692" s="1309"/>
      <c r="B692" s="469" t="s">
        <v>409</v>
      </c>
      <c r="C692" s="85"/>
      <c r="D692" s="85"/>
      <c r="E692" s="86"/>
      <c r="F692" s="403"/>
      <c r="G692" s="52"/>
      <c r="H692" s="87"/>
      <c r="I692" s="87"/>
      <c r="J692" s="87"/>
      <c r="K692" s="468">
        <f>K690</f>
        <v>1862.3999999999228</v>
      </c>
    </row>
    <row r="693" spans="1:13" x14ac:dyDescent="0.2">
      <c r="A693" s="1309"/>
      <c r="B693" s="467" t="s">
        <v>575</v>
      </c>
      <c r="C693" s="109"/>
      <c r="D693" s="109"/>
      <c r="E693" s="110"/>
      <c r="F693" s="110"/>
      <c r="G693" s="111"/>
      <c r="H693" s="112"/>
      <c r="I693" s="112"/>
      <c r="J693" s="112"/>
      <c r="K693" s="579">
        <f>K691-K692</f>
        <v>-1862.3999999999228</v>
      </c>
      <c r="L693" s="749">
        <v>15</v>
      </c>
    </row>
    <row r="694" spans="1:13" x14ac:dyDescent="0.2">
      <c r="A694" s="1309"/>
      <c r="B694" s="456" t="s">
        <v>587</v>
      </c>
      <c r="C694" s="78">
        <v>37987230</v>
      </c>
      <c r="D694" s="78">
        <v>1881818.1818200001</v>
      </c>
      <c r="E694" s="79">
        <v>1</v>
      </c>
      <c r="F694" s="521">
        <v>3650.567</v>
      </c>
      <c r="G694" s="521">
        <v>3690.2981</v>
      </c>
      <c r="H694" s="81">
        <f>G694-F694</f>
        <v>39.731099999999969</v>
      </c>
      <c r="I694" s="81"/>
      <c r="J694" s="81"/>
      <c r="K694" s="431">
        <f>(G694-F694)*D694*E694</f>
        <v>74766706.363708541</v>
      </c>
    </row>
    <row r="695" spans="1:13" x14ac:dyDescent="0.2">
      <c r="A695" s="1309"/>
      <c r="B695" s="456" t="s">
        <v>587</v>
      </c>
      <c r="C695" s="78">
        <v>37987230</v>
      </c>
      <c r="D695" s="78">
        <v>1881818.1818200001</v>
      </c>
      <c r="E695" s="79">
        <v>1</v>
      </c>
      <c r="F695" s="521">
        <v>4.43</v>
      </c>
      <c r="G695" s="521">
        <v>4.5330000000000004</v>
      </c>
      <c r="H695" s="81">
        <f>G695-F695</f>
        <v>0.10300000000000065</v>
      </c>
      <c r="I695" s="81"/>
      <c r="J695" s="81"/>
      <c r="K695" s="431">
        <f>(G695-F695)*D695*E695</f>
        <v>193827.27272746121</v>
      </c>
    </row>
    <row r="696" spans="1:13" x14ac:dyDescent="0.2">
      <c r="A696" s="1309"/>
      <c r="B696" s="467" t="s">
        <v>619</v>
      </c>
      <c r="C696" s="109"/>
      <c r="D696" s="109"/>
      <c r="E696" s="110"/>
      <c r="F696" s="111"/>
      <c r="G696" s="111"/>
      <c r="H696" s="112"/>
      <c r="I696" s="112"/>
      <c r="J696" s="112"/>
      <c r="K696" s="579">
        <f>K694-K695</f>
        <v>74572879.090981081</v>
      </c>
      <c r="L696" s="749">
        <v>16</v>
      </c>
    </row>
    <row r="697" spans="1:13" x14ac:dyDescent="0.2">
      <c r="A697" s="1309"/>
      <c r="B697" s="466" t="s">
        <v>710</v>
      </c>
      <c r="C697" s="78" t="s">
        <v>623</v>
      </c>
      <c r="D697" s="78">
        <v>160</v>
      </c>
      <c r="E697" s="79">
        <v>1</v>
      </c>
      <c r="F697" s="80">
        <v>1988.97</v>
      </c>
      <c r="G697" s="80">
        <v>1988.97</v>
      </c>
      <c r="H697" s="81">
        <f t="shared" ref="H697" si="66">G697-F697</f>
        <v>0</v>
      </c>
      <c r="I697" s="112"/>
      <c r="J697" s="112"/>
      <c r="K697" s="579">
        <f>H697*E697*D697</f>
        <v>0</v>
      </c>
      <c r="L697" s="749">
        <v>17</v>
      </c>
      <c r="M697" s="365" t="s">
        <v>1329</v>
      </c>
    </row>
    <row r="698" spans="1:13" x14ac:dyDescent="0.2">
      <c r="A698" s="1309"/>
      <c r="B698" s="717" t="s">
        <v>1071</v>
      </c>
      <c r="C698" s="718">
        <v>12568052</v>
      </c>
      <c r="D698" s="718">
        <v>360000</v>
      </c>
      <c r="E698" s="719">
        <v>1</v>
      </c>
      <c r="F698" s="720">
        <v>6144.9438749999999</v>
      </c>
      <c r="G698" s="720">
        <v>6144.9438749999999</v>
      </c>
      <c r="H698" s="721">
        <f>G698-F698</f>
        <v>0</v>
      </c>
      <c r="I698" s="721">
        <v>325.24144999999999</v>
      </c>
      <c r="J698" s="721">
        <v>325.24144999999999</v>
      </c>
      <c r="K698" s="722">
        <f>(G698-F698)*D698*E698</f>
        <v>0</v>
      </c>
    </row>
    <row r="699" spans="1:13" x14ac:dyDescent="0.2">
      <c r="A699" s="1309"/>
      <c r="B699" s="717" t="s">
        <v>1072</v>
      </c>
      <c r="C699" s="718">
        <v>12568052</v>
      </c>
      <c r="D699" s="718">
        <v>360000</v>
      </c>
      <c r="E699" s="719">
        <v>1</v>
      </c>
      <c r="F699" s="720">
        <v>0.52517499999999995</v>
      </c>
      <c r="G699" s="720">
        <v>0.52517499999999995</v>
      </c>
      <c r="H699" s="721">
        <f>G699-F699</f>
        <v>0</v>
      </c>
      <c r="I699" s="721">
        <v>2.6749999999999999E-3</v>
      </c>
      <c r="J699" s="721">
        <v>2.6749999999999999E-3</v>
      </c>
      <c r="K699" s="722">
        <f>(G699-F699)*D699*E699</f>
        <v>0</v>
      </c>
    </row>
    <row r="700" spans="1:13" s="4" customFormat="1" x14ac:dyDescent="0.2">
      <c r="A700" s="1309"/>
      <c r="B700" s="723" t="s">
        <v>164</v>
      </c>
      <c r="C700" s="724"/>
      <c r="D700" s="724"/>
      <c r="E700" s="725"/>
      <c r="F700" s="726"/>
      <c r="G700" s="726"/>
      <c r="H700" s="727"/>
      <c r="I700" s="726"/>
      <c r="J700" s="726"/>
      <c r="K700" s="728">
        <f>K698-K699</f>
        <v>0</v>
      </c>
      <c r="L700" s="896"/>
    </row>
    <row r="701" spans="1:13" x14ac:dyDescent="0.2">
      <c r="A701" s="1310"/>
      <c r="B701" s="151" t="s">
        <v>195</v>
      </c>
      <c r="C701" s="132"/>
      <c r="D701" s="132"/>
      <c r="E701" s="142"/>
      <c r="F701" s="118"/>
      <c r="G701" s="118"/>
      <c r="H701" s="118"/>
      <c r="I701" s="118"/>
      <c r="J701" s="118"/>
      <c r="K701" s="1250">
        <f>K697+K696+K693+K688+K681+K674+K671+K668+K665+K662+K653+K637+K700+K615+K603+K630+K618+K634</f>
        <v>962593575.59579277</v>
      </c>
    </row>
    <row r="702" spans="1:13" ht="12.75" customHeight="1" x14ac:dyDescent="0.2">
      <c r="A702" s="1330" t="s">
        <v>196</v>
      </c>
      <c r="B702" s="42" t="s">
        <v>1308</v>
      </c>
      <c r="C702" s="147" t="s">
        <v>1332</v>
      </c>
      <c r="D702" s="43">
        <v>1920000</v>
      </c>
      <c r="E702" s="44">
        <v>1</v>
      </c>
      <c r="F702" s="538">
        <v>1345143.25</v>
      </c>
      <c r="G702" s="538">
        <v>1359861.86</v>
      </c>
      <c r="H702" s="771">
        <f>G702-F702</f>
        <v>14718.610000000102</v>
      </c>
      <c r="I702" s="46"/>
      <c r="J702" s="46"/>
      <c r="K702" s="194">
        <f>H702*D702*E702/1000</f>
        <v>28259731.200000197</v>
      </c>
    </row>
    <row r="703" spans="1:13" ht="12.75" customHeight="1" x14ac:dyDescent="0.2">
      <c r="A703" s="1330"/>
      <c r="B703" s="42" t="s">
        <v>1309</v>
      </c>
      <c r="C703" s="147" t="s">
        <v>1333</v>
      </c>
      <c r="D703" s="43">
        <v>1920000</v>
      </c>
      <c r="E703" s="44">
        <v>1</v>
      </c>
      <c r="F703" s="538">
        <v>1341288.5900000001</v>
      </c>
      <c r="G703" s="538">
        <v>1355930.83</v>
      </c>
      <c r="H703" s="771">
        <f t="shared" ref="H703" si="67">G703-F703</f>
        <v>14642.239999999991</v>
      </c>
      <c r="I703" s="46"/>
      <c r="J703" s="46"/>
      <c r="K703" s="194">
        <f>H703*D703*E703/1000</f>
        <v>28113100.799999982</v>
      </c>
    </row>
    <row r="704" spans="1:13" ht="12" customHeight="1" x14ac:dyDescent="0.2">
      <c r="A704" s="1330"/>
      <c r="B704" s="885" t="s">
        <v>1310</v>
      </c>
      <c r="C704" s="147" t="s">
        <v>1330</v>
      </c>
      <c r="D704" s="43">
        <v>960000</v>
      </c>
      <c r="E704" s="44">
        <v>1</v>
      </c>
      <c r="F704" s="538">
        <v>26392.560000000001</v>
      </c>
      <c r="G704" s="538">
        <v>30139.69</v>
      </c>
      <c r="H704" s="46">
        <f>G704-F704</f>
        <v>3747.1299999999974</v>
      </c>
      <c r="I704" s="46"/>
      <c r="J704" s="46"/>
      <c r="K704" s="194">
        <f>(G704-F704)*D704*E704/1000</f>
        <v>3597244.7999999975</v>
      </c>
    </row>
    <row r="705" spans="1:12" ht="12" customHeight="1" x14ac:dyDescent="0.2">
      <c r="A705" s="1330"/>
      <c r="B705" s="886" t="s">
        <v>1311</v>
      </c>
      <c r="C705" s="147" t="s">
        <v>1331</v>
      </c>
      <c r="D705" s="43">
        <v>960000</v>
      </c>
      <c r="E705" s="44">
        <v>1</v>
      </c>
      <c r="F705" s="538">
        <v>26102.66</v>
      </c>
      <c r="G705" s="538">
        <v>29821.27</v>
      </c>
      <c r="H705" s="46">
        <f>G705-F705</f>
        <v>3718.6100000000006</v>
      </c>
      <c r="I705" s="46"/>
      <c r="J705" s="46"/>
      <c r="K705" s="194">
        <f>(G705-F705)*D705*E705/1000</f>
        <v>3569865.6000000006</v>
      </c>
    </row>
    <row r="706" spans="1:12" ht="13.5" customHeight="1" x14ac:dyDescent="0.2">
      <c r="A706" s="1330"/>
      <c r="B706" s="59" t="s">
        <v>8</v>
      </c>
      <c r="C706" s="43"/>
      <c r="D706" s="43"/>
      <c r="E706" s="44"/>
      <c r="F706" s="70"/>
      <c r="G706" s="70"/>
      <c r="H706" s="46"/>
      <c r="I706" s="46"/>
      <c r="J706" s="46"/>
      <c r="K706" s="195">
        <f>SUM(K702:K705)</f>
        <v>63539942.400000177</v>
      </c>
    </row>
    <row r="707" spans="1:12" ht="13.5" customHeight="1" x14ac:dyDescent="0.2">
      <c r="A707" s="1330"/>
      <c r="B707" s="122" t="s">
        <v>1312</v>
      </c>
      <c r="C707" s="147" t="s">
        <v>1332</v>
      </c>
      <c r="D707" s="43">
        <v>1920000</v>
      </c>
      <c r="E707" s="44">
        <v>1</v>
      </c>
      <c r="F707" s="524">
        <v>5511.74</v>
      </c>
      <c r="G707" s="524">
        <v>5753.82</v>
      </c>
      <c r="H707" s="46">
        <f t="shared" ref="H707:H708" si="68">G707-F707</f>
        <v>242.07999999999993</v>
      </c>
      <c r="I707" s="46">
        <v>137.232</v>
      </c>
      <c r="J707" s="46">
        <v>137.232</v>
      </c>
      <c r="K707" s="194">
        <f>(G707-F707)*D707*E707/1000</f>
        <v>464793.59999999986</v>
      </c>
    </row>
    <row r="708" spans="1:12" ht="13.5" customHeight="1" x14ac:dyDescent="0.2">
      <c r="A708" s="1330"/>
      <c r="B708" s="122" t="s">
        <v>1334</v>
      </c>
      <c r="C708" s="147" t="s">
        <v>1333</v>
      </c>
      <c r="D708" s="43">
        <v>1920000</v>
      </c>
      <c r="E708" s="44">
        <v>1</v>
      </c>
      <c r="F708" s="524">
        <v>5476.74</v>
      </c>
      <c r="G708" s="524">
        <v>5721.76</v>
      </c>
      <c r="H708" s="46">
        <f t="shared" si="68"/>
        <v>245.02000000000044</v>
      </c>
      <c r="I708" s="46">
        <v>137.232</v>
      </c>
      <c r="J708" s="46">
        <v>137.232</v>
      </c>
      <c r="K708" s="194">
        <f>(G708-F708)*D708*E708/1000</f>
        <v>470438.40000000084</v>
      </c>
    </row>
    <row r="709" spans="1:12" ht="12" customHeight="1" x14ac:dyDescent="0.2">
      <c r="A709" s="1330"/>
      <c r="B709" s="122" t="s">
        <v>1313</v>
      </c>
      <c r="C709" s="147" t="s">
        <v>1330</v>
      </c>
      <c r="D709" s="43">
        <v>960000</v>
      </c>
      <c r="E709" s="44">
        <v>1</v>
      </c>
      <c r="F709" s="524">
        <v>1581303.74</v>
      </c>
      <c r="G709" s="524">
        <v>1588381.32</v>
      </c>
      <c r="H709" s="46">
        <f t="shared" ref="H709:H710" si="69">G709-F709</f>
        <v>7077.5800000000745</v>
      </c>
      <c r="I709" s="46">
        <v>7.1760000000000002</v>
      </c>
      <c r="J709" s="46">
        <v>7.1760000000000002</v>
      </c>
      <c r="K709" s="194">
        <f>(G709-F709)*D709*E709/1000</f>
        <v>6794476.8000000715</v>
      </c>
    </row>
    <row r="710" spans="1:12" ht="12" customHeight="1" x14ac:dyDescent="0.2">
      <c r="A710" s="1330"/>
      <c r="B710" s="729" t="s">
        <v>1314</v>
      </c>
      <c r="C710" s="147" t="s">
        <v>1331</v>
      </c>
      <c r="D710" s="43">
        <v>960000</v>
      </c>
      <c r="E710" s="44">
        <v>1</v>
      </c>
      <c r="F710" s="524">
        <v>1587139.69</v>
      </c>
      <c r="G710" s="524">
        <v>1594240.28</v>
      </c>
      <c r="H710" s="46">
        <f t="shared" si="69"/>
        <v>7100.5900000000838</v>
      </c>
      <c r="I710" s="46">
        <v>7.1760000000000002</v>
      </c>
      <c r="J710" s="46">
        <v>7.1760000000000002</v>
      </c>
      <c r="K710" s="194">
        <f>(G710-F710)*D710*E710/1000</f>
        <v>6816566.4000000805</v>
      </c>
    </row>
    <row r="711" spans="1:12" ht="13.5" customHeight="1" x14ac:dyDescent="0.2">
      <c r="A711" s="1330"/>
      <c r="B711" s="59" t="s">
        <v>52</v>
      </c>
      <c r="C711" s="43"/>
      <c r="D711" s="43"/>
      <c r="E711" s="44"/>
      <c r="F711" s="474"/>
      <c r="G711" s="70"/>
      <c r="H711" s="46"/>
      <c r="I711" s="46"/>
      <c r="J711" s="46"/>
      <c r="K711" s="195">
        <f>SUM(K707:K710)</f>
        <v>14546275.200000152</v>
      </c>
    </row>
    <row r="712" spans="1:12" s="4" customFormat="1" ht="13.5" customHeight="1" x14ac:dyDescent="0.2">
      <c r="A712" s="1330"/>
      <c r="B712" s="61" t="s">
        <v>1064</v>
      </c>
      <c r="C712" s="62"/>
      <c r="D712" s="62"/>
      <c r="E712" s="63"/>
      <c r="F712" s="64"/>
      <c r="G712" s="64"/>
      <c r="H712" s="65"/>
      <c r="I712" s="66"/>
      <c r="J712" s="66"/>
      <c r="K712" s="576">
        <f>K706-K711</f>
        <v>48993667.200000025</v>
      </c>
      <c r="L712" s="896">
        <v>2</v>
      </c>
    </row>
    <row r="713" spans="1:12" x14ac:dyDescent="0.2">
      <c r="A713" s="1330"/>
      <c r="B713" s="42" t="s">
        <v>197</v>
      </c>
      <c r="C713" s="147">
        <v>8483268</v>
      </c>
      <c r="D713" s="43">
        <v>36000</v>
      </c>
      <c r="E713" s="44">
        <v>1</v>
      </c>
      <c r="F713" s="524">
        <v>59125.095399999998</v>
      </c>
      <c r="G713" s="524">
        <v>59125.095399999998</v>
      </c>
      <c r="H713" s="46">
        <f>G713-F713</f>
        <v>0</v>
      </c>
      <c r="I713" s="152">
        <v>12150.44225</v>
      </c>
      <c r="J713" s="152">
        <v>12336.111325</v>
      </c>
      <c r="K713" s="194">
        <f>(G713-F713)*D713*E713</f>
        <v>0</v>
      </c>
    </row>
    <row r="714" spans="1:12" x14ac:dyDescent="0.2">
      <c r="A714" s="1330"/>
      <c r="B714" s="42" t="s">
        <v>198</v>
      </c>
      <c r="C714" s="147">
        <v>8483268</v>
      </c>
      <c r="D714" s="43">
        <v>36000</v>
      </c>
      <c r="E714" s="44">
        <v>1</v>
      </c>
      <c r="F714" s="524">
        <v>21.170574999999999</v>
      </c>
      <c r="G714" s="524">
        <v>21.170574999999999</v>
      </c>
      <c r="H714" s="46">
        <f>G714-F714</f>
        <v>0</v>
      </c>
      <c r="I714" s="153">
        <v>3.739525</v>
      </c>
      <c r="J714" s="153">
        <v>3.8832249999999999</v>
      </c>
      <c r="K714" s="194">
        <f>(G714-F714)*D714*E714</f>
        <v>0</v>
      </c>
    </row>
    <row r="715" spans="1:12" s="4" customFormat="1" x14ac:dyDescent="0.2">
      <c r="A715" s="1330"/>
      <c r="B715" s="61" t="s">
        <v>199</v>
      </c>
      <c r="C715" s="62"/>
      <c r="D715" s="62"/>
      <c r="E715" s="63"/>
      <c r="F715" s="64"/>
      <c r="G715" s="64"/>
      <c r="H715" s="65"/>
      <c r="I715" s="66"/>
      <c r="J715" s="66"/>
      <c r="K715" s="576">
        <f>K713-K714</f>
        <v>0</v>
      </c>
      <c r="L715" s="896">
        <v>1</v>
      </c>
    </row>
    <row r="716" spans="1:12" x14ac:dyDescent="0.2">
      <c r="A716" s="1330"/>
      <c r="B716" s="122" t="s">
        <v>544</v>
      </c>
      <c r="C716" s="85" t="s">
        <v>546</v>
      </c>
      <c r="D716" s="85">
        <v>960</v>
      </c>
      <c r="E716" s="44">
        <v>1</v>
      </c>
      <c r="F716" s="52">
        <v>785005.58</v>
      </c>
      <c r="G716" s="52">
        <v>785005.58</v>
      </c>
      <c r="H716" s="87">
        <f>G716-F716</f>
        <v>0</v>
      </c>
      <c r="I716" s="46"/>
      <c r="J716" s="46"/>
      <c r="K716" s="206">
        <f>(G716-F716)*D716*E716</f>
        <v>0</v>
      </c>
    </row>
    <row r="717" spans="1:12" x14ac:dyDescent="0.2">
      <c r="A717" s="1330"/>
      <c r="B717" s="122" t="s">
        <v>545</v>
      </c>
      <c r="C717" s="85" t="s">
        <v>546</v>
      </c>
      <c r="D717" s="85">
        <v>960</v>
      </c>
      <c r="E717" s="44">
        <v>1</v>
      </c>
      <c r="F717" s="52">
        <v>168.89</v>
      </c>
      <c r="G717" s="52">
        <v>168.89</v>
      </c>
      <c r="H717" s="87">
        <f>G717-F717</f>
        <v>0</v>
      </c>
      <c r="I717" s="46"/>
      <c r="J717" s="46"/>
      <c r="K717" s="206">
        <f>(G717-F717)*D717*E717</f>
        <v>0</v>
      </c>
    </row>
    <row r="718" spans="1:12" x14ac:dyDescent="0.2">
      <c r="A718" s="1330"/>
      <c r="B718" s="122" t="s">
        <v>658</v>
      </c>
      <c r="C718" s="85">
        <v>38992457</v>
      </c>
      <c r="D718" s="85">
        <v>960000</v>
      </c>
      <c r="E718" s="44">
        <v>1</v>
      </c>
      <c r="F718" s="521">
        <v>1037.3081999999999</v>
      </c>
      <c r="G718" s="521">
        <v>1037.3081999999999</v>
      </c>
      <c r="H718" s="87">
        <f>G718-F718</f>
        <v>0</v>
      </c>
      <c r="I718" s="46"/>
      <c r="J718" s="46"/>
      <c r="K718" s="206">
        <f>(G718-F718)*D718*E718</f>
        <v>0</v>
      </c>
    </row>
    <row r="719" spans="1:12" x14ac:dyDescent="0.2">
      <c r="A719" s="1330"/>
      <c r="B719" s="122" t="s">
        <v>659</v>
      </c>
      <c r="C719" s="85">
        <v>38992457</v>
      </c>
      <c r="D719" s="85">
        <v>960000</v>
      </c>
      <c r="E719" s="44">
        <v>1</v>
      </c>
      <c r="F719" s="521">
        <v>5.7446000000000002</v>
      </c>
      <c r="G719" s="521">
        <v>5.8308</v>
      </c>
      <c r="H719" s="87">
        <f>G719-F719</f>
        <v>8.6199999999999832E-2</v>
      </c>
      <c r="I719" s="46"/>
      <c r="J719" s="46"/>
      <c r="K719" s="206">
        <f>(G719-F719)*D719*E719</f>
        <v>82751.99999999984</v>
      </c>
    </row>
    <row r="720" spans="1:12" x14ac:dyDescent="0.2">
      <c r="A720" s="1330"/>
      <c r="B720" s="59" t="s">
        <v>367</v>
      </c>
      <c r="C720" s="85"/>
      <c r="D720" s="85"/>
      <c r="E720" s="44"/>
      <c r="F720" s="52"/>
      <c r="G720" s="52"/>
      <c r="H720" s="87"/>
      <c r="I720" s="46"/>
      <c r="J720" s="46"/>
      <c r="K720" s="199">
        <f>K716+K718</f>
        <v>0</v>
      </c>
    </row>
    <row r="721" spans="1:12" x14ac:dyDescent="0.2">
      <c r="A721" s="1330"/>
      <c r="B721" s="59" t="s">
        <v>368</v>
      </c>
      <c r="C721" s="85"/>
      <c r="D721" s="85"/>
      <c r="E721" s="44"/>
      <c r="F721" s="52"/>
      <c r="G721" s="52"/>
      <c r="H721" s="87"/>
      <c r="I721" s="46"/>
      <c r="J721" s="46"/>
      <c r="K721" s="199">
        <f>K717+K719</f>
        <v>82751.99999999984</v>
      </c>
    </row>
    <row r="722" spans="1:12" x14ac:dyDescent="0.2">
      <c r="A722" s="1330"/>
      <c r="B722" s="61" t="s">
        <v>543</v>
      </c>
      <c r="C722" s="62"/>
      <c r="D722" s="62"/>
      <c r="E722" s="63"/>
      <c r="F722" s="64"/>
      <c r="G722" s="64"/>
      <c r="H722" s="65"/>
      <c r="I722" s="66"/>
      <c r="J722" s="66"/>
      <c r="K722" s="576">
        <f>K720-K721</f>
        <v>-82751.99999999984</v>
      </c>
      <c r="L722" s="896">
        <v>3</v>
      </c>
    </row>
    <row r="723" spans="1:12" x14ac:dyDescent="0.2">
      <c r="A723" s="1330"/>
      <c r="B723" s="122" t="s">
        <v>589</v>
      </c>
      <c r="C723" s="85">
        <v>37987232</v>
      </c>
      <c r="D723" s="85">
        <v>12000</v>
      </c>
      <c r="E723" s="86">
        <v>1</v>
      </c>
      <c r="F723" s="52">
        <v>100</v>
      </c>
      <c r="G723" s="52">
        <v>100</v>
      </c>
      <c r="H723" s="87">
        <f>G723-F723</f>
        <v>0</v>
      </c>
      <c r="I723" s="46"/>
      <c r="J723" s="46"/>
      <c r="K723" s="200">
        <f>(G723-F723)*D723*E723</f>
        <v>0</v>
      </c>
    </row>
    <row r="724" spans="1:12" x14ac:dyDescent="0.2">
      <c r="A724" s="1330"/>
      <c r="B724" s="122" t="s">
        <v>589</v>
      </c>
      <c r="C724" s="85">
        <v>37987232</v>
      </c>
      <c r="D724" s="85">
        <v>12000</v>
      </c>
      <c r="E724" s="86">
        <v>1</v>
      </c>
      <c r="F724" s="52">
        <v>1.14E-2</v>
      </c>
      <c r="G724" s="52">
        <v>1.14E-2</v>
      </c>
      <c r="H724" s="87">
        <f>G724-F724</f>
        <v>0</v>
      </c>
      <c r="I724" s="46"/>
      <c r="J724" s="46"/>
      <c r="K724" s="200">
        <f>(G724-F724)*D724*E724</f>
        <v>0</v>
      </c>
    </row>
    <row r="725" spans="1:12" x14ac:dyDescent="0.2">
      <c r="A725" s="1330"/>
      <c r="B725" s="122" t="s">
        <v>602</v>
      </c>
      <c r="C725" s="85">
        <v>208176717</v>
      </c>
      <c r="D725" s="85">
        <v>12000</v>
      </c>
      <c r="E725" s="86">
        <v>1</v>
      </c>
      <c r="F725" s="521">
        <v>2294.2907</v>
      </c>
      <c r="G725" s="521">
        <v>2321.6716000000001</v>
      </c>
      <c r="H725" s="87">
        <f>G725-F725</f>
        <v>27.380900000000111</v>
      </c>
      <c r="I725" s="46"/>
      <c r="J725" s="46"/>
      <c r="K725" s="200">
        <f>(G725-F725)*D725*E725</f>
        <v>328570.80000000133</v>
      </c>
    </row>
    <row r="726" spans="1:12" x14ac:dyDescent="0.2">
      <c r="A726" s="1330"/>
      <c r="B726" s="122" t="s">
        <v>603</v>
      </c>
      <c r="C726" s="85">
        <v>208176717</v>
      </c>
      <c r="D726" s="85">
        <v>12000</v>
      </c>
      <c r="E726" s="86">
        <v>1</v>
      </c>
      <c r="F726" s="521">
        <v>2.0175000000000001</v>
      </c>
      <c r="G726" s="521">
        <v>2.1667999999999998</v>
      </c>
      <c r="H726" s="87">
        <f>G726-F726</f>
        <v>0.14929999999999977</v>
      </c>
      <c r="I726" s="46"/>
      <c r="J726" s="46"/>
      <c r="K726" s="200">
        <f>(G726-F726)*D726*E726</f>
        <v>1791.5999999999972</v>
      </c>
    </row>
    <row r="727" spans="1:12" x14ac:dyDescent="0.2">
      <c r="A727" s="1330"/>
      <c r="B727" s="59" t="s">
        <v>408</v>
      </c>
      <c r="C727" s="85"/>
      <c r="D727" s="85"/>
      <c r="E727" s="86"/>
      <c r="F727" s="403"/>
      <c r="G727" s="52"/>
      <c r="H727" s="87"/>
      <c r="I727" s="46"/>
      <c r="J727" s="46"/>
      <c r="K727" s="195">
        <f>K723+K725</f>
        <v>328570.80000000133</v>
      </c>
    </row>
    <row r="728" spans="1:12" x14ac:dyDescent="0.2">
      <c r="A728" s="1330"/>
      <c r="B728" s="59" t="s">
        <v>409</v>
      </c>
      <c r="C728" s="51"/>
      <c r="D728" s="51"/>
      <c r="E728" s="44"/>
      <c r="F728" s="423"/>
      <c r="G728" s="60"/>
      <c r="H728" s="53"/>
      <c r="I728" s="46"/>
      <c r="J728" s="46"/>
      <c r="K728" s="195">
        <f>K724+K726</f>
        <v>1791.5999999999972</v>
      </c>
    </row>
    <row r="729" spans="1:12" x14ac:dyDescent="0.2">
      <c r="A729" s="1330"/>
      <c r="B729" s="458" t="s">
        <v>604</v>
      </c>
      <c r="C729" s="459"/>
      <c r="D729" s="459"/>
      <c r="E729" s="459"/>
      <c r="F729" s="459"/>
      <c r="G729" s="459"/>
      <c r="H729" s="459"/>
      <c r="I729" s="459"/>
      <c r="J729" s="459"/>
      <c r="K729" s="591">
        <f>K727-K728</f>
        <v>326779.20000000135</v>
      </c>
      <c r="L729" s="896">
        <v>4</v>
      </c>
    </row>
    <row r="730" spans="1:12" x14ac:dyDescent="0.2">
      <c r="A730" s="1330"/>
      <c r="B730" s="397" t="s">
        <v>652</v>
      </c>
      <c r="C730" s="397">
        <v>38992525</v>
      </c>
      <c r="D730" s="397">
        <v>2400000</v>
      </c>
      <c r="E730" s="397">
        <v>1</v>
      </c>
      <c r="F730" s="539">
        <v>2105.0385999999999</v>
      </c>
      <c r="G730" s="539">
        <v>2138.0920999999998</v>
      </c>
      <c r="H730" s="397">
        <f>G730-F730</f>
        <v>33.053499999999985</v>
      </c>
      <c r="I730" s="398"/>
      <c r="J730" s="398"/>
      <c r="K730" s="399">
        <f>(G730-F730)*D730*E730</f>
        <v>79328399.99999997</v>
      </c>
    </row>
    <row r="731" spans="1:12" x14ac:dyDescent="0.2">
      <c r="A731" s="1330"/>
      <c r="B731" s="397" t="s">
        <v>652</v>
      </c>
      <c r="C731" s="397">
        <v>38992525</v>
      </c>
      <c r="D731" s="397">
        <v>2400000</v>
      </c>
      <c r="E731" s="397">
        <v>1</v>
      </c>
      <c r="F731" s="539">
        <v>1.6887000000000001</v>
      </c>
      <c r="G731" s="539">
        <v>1.6932</v>
      </c>
      <c r="H731" s="397">
        <f>G731-F731</f>
        <v>4.4999999999999485E-3</v>
      </c>
      <c r="I731" s="398"/>
      <c r="J731" s="398"/>
      <c r="K731" s="399">
        <f>(G731-F731)*D731*E731</f>
        <v>10799.999999999876</v>
      </c>
    </row>
    <row r="732" spans="1:12" x14ac:dyDescent="0.2">
      <c r="A732" s="1330"/>
      <c r="B732" s="460" t="s">
        <v>653</v>
      </c>
      <c r="C732" s="460"/>
      <c r="D732" s="460"/>
      <c r="E732" s="460"/>
      <c r="F732" s="460"/>
      <c r="G732" s="460"/>
      <c r="H732" s="460"/>
      <c r="I732" s="460"/>
      <c r="J732" s="460"/>
      <c r="K732" s="592">
        <f>K730-K731</f>
        <v>79317599.99999997</v>
      </c>
      <c r="L732" s="896">
        <v>5</v>
      </c>
    </row>
    <row r="733" spans="1:12" x14ac:dyDescent="0.2">
      <c r="A733" s="1330"/>
      <c r="B733" s="461" t="s">
        <v>1384</v>
      </c>
      <c r="C733" s="461">
        <v>43890342</v>
      </c>
      <c r="D733" s="461">
        <v>1200000</v>
      </c>
      <c r="E733" s="461">
        <v>1</v>
      </c>
      <c r="F733" s="539">
        <v>2582159.14</v>
      </c>
      <c r="G733" s="539">
        <v>2619134.0099999998</v>
      </c>
      <c r="H733" s="461">
        <f>G733-F733</f>
        <v>36974.869999999646</v>
      </c>
      <c r="I733" s="461"/>
      <c r="J733" s="461"/>
      <c r="K733" s="462">
        <f>(G733-F733)*D733*E733/1000</f>
        <v>44369843.999999575</v>
      </c>
    </row>
    <row r="734" spans="1:12" x14ac:dyDescent="0.2">
      <c r="A734" s="1330"/>
      <c r="B734" s="461" t="s">
        <v>1385</v>
      </c>
      <c r="C734" s="461">
        <v>43890342</v>
      </c>
      <c r="D734" s="461">
        <v>1200000</v>
      </c>
      <c r="E734" s="461">
        <v>1</v>
      </c>
      <c r="F734" s="539">
        <v>2187.64</v>
      </c>
      <c r="G734" s="539">
        <v>2196.4499999999998</v>
      </c>
      <c r="H734" s="461">
        <f>G734-F734</f>
        <v>8.8099999999999454</v>
      </c>
      <c r="I734" s="461"/>
      <c r="J734" s="461"/>
      <c r="K734" s="462">
        <f>(G734-F734)*D734*E734/1000</f>
        <v>10571.999999999935</v>
      </c>
    </row>
    <row r="735" spans="1:12" x14ac:dyDescent="0.2">
      <c r="A735" s="1330"/>
      <c r="B735" s="460"/>
      <c r="C735" s="460"/>
      <c r="D735" s="460"/>
      <c r="E735" s="460"/>
      <c r="F735" s="460"/>
      <c r="G735" s="460"/>
      <c r="H735" s="460"/>
      <c r="I735" s="460"/>
      <c r="J735" s="460"/>
      <c r="K735" s="592">
        <f>K733-K734</f>
        <v>44359271.999999575</v>
      </c>
      <c r="L735" s="896">
        <v>6</v>
      </c>
    </row>
    <row r="736" spans="1:12" x14ac:dyDescent="0.2">
      <c r="A736" s="1330"/>
      <c r="B736" s="461" t="s">
        <v>1224</v>
      </c>
      <c r="C736" s="461">
        <v>38992612</v>
      </c>
      <c r="D736" s="461">
        <v>480000</v>
      </c>
      <c r="E736" s="461">
        <v>1</v>
      </c>
      <c r="F736" s="539">
        <v>893.13639999999998</v>
      </c>
      <c r="G736" s="539">
        <v>909.19989999999996</v>
      </c>
      <c r="H736" s="461">
        <f>G736-F736</f>
        <v>16.063499999999976</v>
      </c>
      <c r="I736" s="703"/>
      <c r="J736" s="703"/>
      <c r="K736" s="704">
        <f>(G736-F736)*D736*E736</f>
        <v>7710479.9999999888</v>
      </c>
    </row>
    <row r="737" spans="1:14" x14ac:dyDescent="0.2">
      <c r="A737" s="1330"/>
      <c r="B737" s="461" t="s">
        <v>1225</v>
      </c>
      <c r="C737" s="461">
        <v>38992612</v>
      </c>
      <c r="D737" s="461">
        <v>480000</v>
      </c>
      <c r="E737" s="461">
        <v>1</v>
      </c>
      <c r="F737" s="539">
        <v>4.7805999999999997</v>
      </c>
      <c r="G737" s="539">
        <v>4.8639000000000001</v>
      </c>
      <c r="H737" s="461">
        <f>G737-F737</f>
        <v>8.3300000000000374E-2</v>
      </c>
      <c r="I737" s="703"/>
      <c r="J737" s="703"/>
      <c r="K737" s="704">
        <f>(G737-F737)*D737*E737</f>
        <v>39984.000000000182</v>
      </c>
    </row>
    <row r="738" spans="1:14" x14ac:dyDescent="0.2">
      <c r="A738" s="1330"/>
      <c r="B738" s="460" t="s">
        <v>1226</v>
      </c>
      <c r="C738" s="460"/>
      <c r="D738" s="460"/>
      <c r="E738" s="460"/>
      <c r="F738" s="460"/>
      <c r="G738" s="460"/>
      <c r="H738" s="460"/>
      <c r="I738" s="460"/>
      <c r="J738" s="460"/>
      <c r="K738" s="592">
        <f>K736-K737</f>
        <v>7670495.9999999888</v>
      </c>
      <c r="L738" s="896">
        <v>7</v>
      </c>
    </row>
    <row r="739" spans="1:14" x14ac:dyDescent="0.2">
      <c r="A739" s="1330"/>
      <c r="B739" s="461" t="s">
        <v>1231</v>
      </c>
      <c r="C739" s="461">
        <v>218257748</v>
      </c>
      <c r="D739" s="461">
        <v>240000</v>
      </c>
      <c r="E739" s="461">
        <v>1</v>
      </c>
      <c r="F739" s="952">
        <v>1850623.32</v>
      </c>
      <c r="G739" s="952">
        <v>1873535.78</v>
      </c>
      <c r="H739" s="741">
        <f>G739-F739</f>
        <v>22912.459999999963</v>
      </c>
      <c r="I739" s="703"/>
      <c r="J739" s="703"/>
      <c r="K739" s="707">
        <f>(G739-F739)*D739*E739/1000</f>
        <v>5498990.3999999911</v>
      </c>
    </row>
    <row r="740" spans="1:14" x14ac:dyDescent="0.2">
      <c r="A740" s="1330"/>
      <c r="B740" s="461" t="s">
        <v>1232</v>
      </c>
      <c r="C740" s="461">
        <v>218257748</v>
      </c>
      <c r="D740" s="461">
        <v>240000</v>
      </c>
      <c r="E740" s="461">
        <v>1</v>
      </c>
      <c r="F740" s="952">
        <v>4410.68</v>
      </c>
      <c r="G740" s="952">
        <v>4523.6899999999996</v>
      </c>
      <c r="H740" s="741">
        <f>G740-F740</f>
        <v>113.00999999999931</v>
      </c>
      <c r="I740" s="703"/>
      <c r="J740" s="703"/>
      <c r="K740" s="707">
        <f>(G740-F740)*D740*E740/1000</f>
        <v>27122.399999999834</v>
      </c>
    </row>
    <row r="741" spans="1:14" x14ac:dyDescent="0.2">
      <c r="A741" s="1330"/>
      <c r="B741" s="706" t="s">
        <v>1233</v>
      </c>
      <c r="C741" s="706"/>
      <c r="D741" s="706"/>
      <c r="E741" s="706"/>
      <c r="F741" s="706"/>
      <c r="G741" s="706"/>
      <c r="H741" s="706"/>
      <c r="I741" s="460"/>
      <c r="J741" s="460"/>
      <c r="K741" s="592">
        <f>K739-K740</f>
        <v>5471867.9999999916</v>
      </c>
      <c r="L741" s="896">
        <v>8</v>
      </c>
    </row>
    <row r="742" spans="1:14" x14ac:dyDescent="0.2">
      <c r="A742" s="1330"/>
      <c r="B742" s="461" t="s">
        <v>1258</v>
      </c>
      <c r="C742" s="461">
        <v>53523319</v>
      </c>
      <c r="D742" s="461">
        <v>360000</v>
      </c>
      <c r="E742" s="461">
        <v>1</v>
      </c>
      <c r="F742" s="539">
        <v>1934.4179999999999</v>
      </c>
      <c r="G742" s="539">
        <v>1958.912</v>
      </c>
      <c r="H742" s="703">
        <f>G742-F742</f>
        <v>24.494000000000142</v>
      </c>
      <c r="I742" s="703"/>
      <c r="J742" s="703"/>
      <c r="K742" s="707">
        <f>(G742-F742)*D742*E742</f>
        <v>8817840.0000000503</v>
      </c>
    </row>
    <row r="743" spans="1:14" x14ac:dyDescent="0.2">
      <c r="A743" s="1330"/>
      <c r="B743" s="461" t="s">
        <v>1259</v>
      </c>
      <c r="C743" s="461">
        <v>53523319</v>
      </c>
      <c r="D743" s="461">
        <v>360000</v>
      </c>
      <c r="E743" s="461">
        <v>1</v>
      </c>
      <c r="F743" s="539">
        <v>2.7160000000000002</v>
      </c>
      <c r="G743" s="539">
        <v>2.8079999999999998</v>
      </c>
      <c r="H743" s="703">
        <f>G743-F743</f>
        <v>9.1999999999999638E-2</v>
      </c>
      <c r="I743" s="703"/>
      <c r="J743" s="703"/>
      <c r="K743" s="707">
        <f>(G743-F743)*D743*E743</f>
        <v>33119.999999999869</v>
      </c>
    </row>
    <row r="744" spans="1:14" x14ac:dyDescent="0.2">
      <c r="A744" s="1330"/>
      <c r="B744" s="706" t="s">
        <v>1260</v>
      </c>
      <c r="C744" s="706"/>
      <c r="D744" s="706"/>
      <c r="E744" s="706"/>
      <c r="F744" s="706"/>
      <c r="G744" s="706"/>
      <c r="H744" s="460"/>
      <c r="I744" s="460"/>
      <c r="J744" s="460"/>
      <c r="K744" s="592">
        <f>K742-K743</f>
        <v>8784720.0000000503</v>
      </c>
      <c r="L744" s="896">
        <v>9</v>
      </c>
    </row>
    <row r="745" spans="1:14" x14ac:dyDescent="0.2">
      <c r="A745" s="1330"/>
      <c r="B745" s="154" t="s">
        <v>293</v>
      </c>
      <c r="C745" s="132"/>
      <c r="D745" s="132"/>
      <c r="E745" s="142"/>
      <c r="F745" s="118"/>
      <c r="G745" s="118"/>
      <c r="H745" s="118"/>
      <c r="I745" s="118"/>
      <c r="J745" s="118"/>
      <c r="K745" s="203">
        <f>K741+K738+K735+K732+K729+K722+K715+K712+K744</f>
        <v>194841650.39999959</v>
      </c>
      <c r="N745" s="365" t="s">
        <v>1624</v>
      </c>
    </row>
    <row r="746" spans="1:14" ht="16.5" customHeight="1" x14ac:dyDescent="0.2">
      <c r="A746" s="1324" t="s">
        <v>0</v>
      </c>
      <c r="B746" s="500" t="s">
        <v>736</v>
      </c>
      <c r="C746" s="147">
        <v>96931181</v>
      </c>
      <c r="D746" s="136">
        <v>1</v>
      </c>
      <c r="E746" s="44">
        <v>1</v>
      </c>
      <c r="F746" s="533">
        <v>589780566.89999998</v>
      </c>
      <c r="G746" s="533">
        <v>589780566.89999998</v>
      </c>
      <c r="H746" s="501">
        <f>G746-F746</f>
        <v>0</v>
      </c>
      <c r="I746" s="501">
        <v>67650677</v>
      </c>
      <c r="J746" s="501">
        <v>67650677</v>
      </c>
      <c r="K746" s="502">
        <f>H746*E746*D746</f>
        <v>0</v>
      </c>
    </row>
    <row r="747" spans="1:14" x14ac:dyDescent="0.2">
      <c r="A747" s="1324"/>
      <c r="B747" s="500" t="s">
        <v>737</v>
      </c>
      <c r="C747" s="147">
        <v>96931181</v>
      </c>
      <c r="D747" s="136">
        <v>1</v>
      </c>
      <c r="E747" s="44">
        <v>1</v>
      </c>
      <c r="F747" s="533">
        <v>24415172.600000001</v>
      </c>
      <c r="G747" s="533">
        <v>24415172.600000001</v>
      </c>
      <c r="H747" s="503">
        <f>G747-F747</f>
        <v>0</v>
      </c>
      <c r="I747" s="504">
        <v>455587.9</v>
      </c>
      <c r="J747" s="504">
        <v>455587.9</v>
      </c>
      <c r="K747" s="502">
        <f>(G747-F747)*D747*E747</f>
        <v>0</v>
      </c>
    </row>
    <row r="748" spans="1:14" s="4" customFormat="1" x14ac:dyDescent="0.2">
      <c r="A748" s="1324"/>
      <c r="B748" s="61" t="s">
        <v>738</v>
      </c>
      <c r="C748" s="155"/>
      <c r="D748" s="120"/>
      <c r="E748" s="63"/>
      <c r="F748" s="121"/>
      <c r="G748" s="121"/>
      <c r="H748" s="66"/>
      <c r="I748" s="66"/>
      <c r="J748" s="66"/>
      <c r="K748" s="576">
        <f>K746-K747</f>
        <v>0</v>
      </c>
      <c r="L748" s="896">
        <v>3</v>
      </c>
    </row>
    <row r="749" spans="1:14" x14ac:dyDescent="0.2">
      <c r="A749" s="1324"/>
      <c r="B749" s="156" t="s">
        <v>200</v>
      </c>
      <c r="C749" s="147">
        <v>96931177</v>
      </c>
      <c r="D749" s="136">
        <v>1</v>
      </c>
      <c r="E749" s="44">
        <v>1</v>
      </c>
      <c r="F749" s="687">
        <v>535802910</v>
      </c>
      <c r="G749" s="687">
        <v>535802910</v>
      </c>
      <c r="H749" s="957">
        <f>G749-F749</f>
        <v>0</v>
      </c>
      <c r="I749" s="46">
        <v>73714331</v>
      </c>
      <c r="J749" s="46">
        <v>73714331</v>
      </c>
      <c r="K749" s="194">
        <f>(G749-F749)*D749*E749</f>
        <v>0</v>
      </c>
    </row>
    <row r="750" spans="1:14" ht="12.75" customHeight="1" x14ac:dyDescent="0.2">
      <c r="A750" s="1324"/>
      <c r="B750" s="156" t="s">
        <v>201</v>
      </c>
      <c r="C750" s="147">
        <v>96931177</v>
      </c>
      <c r="D750" s="136">
        <v>1</v>
      </c>
      <c r="E750" s="44">
        <v>1</v>
      </c>
      <c r="F750" s="687">
        <v>4577420</v>
      </c>
      <c r="G750" s="687">
        <v>4577420</v>
      </c>
      <c r="H750" s="957">
        <f>G750-F750</f>
        <v>0</v>
      </c>
      <c r="I750" s="46">
        <v>235337.7</v>
      </c>
      <c r="J750" s="46">
        <v>235337.7</v>
      </c>
      <c r="K750" s="194">
        <f>(G750-F750)*D750*E750</f>
        <v>0</v>
      </c>
    </row>
    <row r="751" spans="1:14" s="4" customFormat="1" ht="12.75" customHeight="1" x14ac:dyDescent="0.2">
      <c r="A751" s="1324"/>
      <c r="B751" s="145" t="s">
        <v>202</v>
      </c>
      <c r="C751" s="155"/>
      <c r="D751" s="120"/>
      <c r="E751" s="63"/>
      <c r="F751" s="190"/>
      <c r="G751" s="121"/>
      <c r="H751" s="66"/>
      <c r="I751" s="66"/>
      <c r="J751" s="66"/>
      <c r="K751" s="576">
        <f>K749-K750</f>
        <v>0</v>
      </c>
      <c r="L751" s="896">
        <v>2</v>
      </c>
    </row>
    <row r="752" spans="1:14" ht="12.75" customHeight="1" x14ac:dyDescent="0.2">
      <c r="A752" s="1324"/>
      <c r="B752" s="492" t="s">
        <v>317</v>
      </c>
      <c r="C752" s="1321">
        <v>38992623</v>
      </c>
      <c r="D752" s="78">
        <v>960000</v>
      </c>
      <c r="E752" s="44">
        <v>1</v>
      </c>
      <c r="F752" s="524">
        <v>403.61900000000003</v>
      </c>
      <c r="G752" s="524">
        <v>405.56389999999999</v>
      </c>
      <c r="H752" s="46">
        <f>G752-F752</f>
        <v>1.9448999999999614</v>
      </c>
      <c r="I752" s="46"/>
      <c r="J752" s="46"/>
      <c r="K752" s="201">
        <f>H752*E752*D752</f>
        <v>1867103.999999963</v>
      </c>
    </row>
    <row r="753" spans="1:12" ht="12.75" customHeight="1" x14ac:dyDescent="0.2">
      <c r="A753" s="1324"/>
      <c r="B753" s="492" t="s">
        <v>318</v>
      </c>
      <c r="C753" s="1322"/>
      <c r="D753" s="78">
        <v>960000</v>
      </c>
      <c r="E753" s="44">
        <v>1</v>
      </c>
      <c r="F753" s="524">
        <v>3.6151</v>
      </c>
      <c r="G753" s="524">
        <v>3.6716000000000002</v>
      </c>
      <c r="H753" s="46">
        <f>G753-F753</f>
        <v>5.6500000000000217E-2</v>
      </c>
      <c r="I753" s="46"/>
      <c r="J753" s="46"/>
      <c r="K753" s="200">
        <f>H753*E753*D753</f>
        <v>54240.000000000211</v>
      </c>
    </row>
    <row r="754" spans="1:12" s="4" customFormat="1" ht="12.75" customHeight="1" x14ac:dyDescent="0.2">
      <c r="A754" s="1324"/>
      <c r="B754" s="158" t="s">
        <v>319</v>
      </c>
      <c r="C754" s="155"/>
      <c r="D754" s="120"/>
      <c r="E754" s="63"/>
      <c r="F754" s="121"/>
      <c r="G754" s="121"/>
      <c r="H754" s="66"/>
      <c r="I754" s="66"/>
      <c r="J754" s="66"/>
      <c r="K754" s="576">
        <f>K752-K753</f>
        <v>1812863.9999999627</v>
      </c>
      <c r="L754" s="896">
        <v>1</v>
      </c>
    </row>
    <row r="755" spans="1:12" ht="12.75" customHeight="1" x14ac:dyDescent="0.2">
      <c r="A755" s="1324"/>
      <c r="B755" s="159"/>
      <c r="C755" s="149"/>
      <c r="D755" s="54">
        <v>480000</v>
      </c>
      <c r="E755" s="55">
        <v>1</v>
      </c>
      <c r="F755" s="474">
        <v>719.66909999999996</v>
      </c>
      <c r="G755" s="474">
        <v>719.66909999999996</v>
      </c>
      <c r="H755" s="160">
        <f>G755-F755</f>
        <v>0</v>
      </c>
      <c r="I755" s="57"/>
      <c r="J755" s="57"/>
      <c r="K755" s="198">
        <f>(G755-F755)*D755*E755</f>
        <v>0</v>
      </c>
    </row>
    <row r="756" spans="1:12" ht="12.75" customHeight="1" x14ac:dyDescent="0.2">
      <c r="A756" s="1324"/>
      <c r="B756" s="159" t="s">
        <v>348</v>
      </c>
      <c r="C756" s="149"/>
      <c r="D756" s="54">
        <v>480000</v>
      </c>
      <c r="E756" s="55">
        <v>1</v>
      </c>
      <c r="F756" s="524">
        <v>2870.6053400000001</v>
      </c>
      <c r="G756" s="524">
        <v>2871.2485999999999</v>
      </c>
      <c r="H756" s="160">
        <f>G756-F756</f>
        <v>0.64325999999982741</v>
      </c>
      <c r="I756" s="57"/>
      <c r="J756" s="57"/>
      <c r="K756" s="198">
        <f>(G756-F756)*D756*E756</f>
        <v>308764.79999991716</v>
      </c>
    </row>
    <row r="757" spans="1:12" ht="12.75" customHeight="1" x14ac:dyDescent="0.2">
      <c r="A757" s="1324"/>
      <c r="B757" s="159"/>
      <c r="C757" s="149"/>
      <c r="D757" s="54"/>
      <c r="E757" s="55"/>
      <c r="F757" s="68"/>
      <c r="G757" s="68"/>
      <c r="H757" s="160"/>
      <c r="I757" s="57"/>
      <c r="J757" s="57"/>
      <c r="K757" s="202">
        <f>K755+K756</f>
        <v>308764.79999991716</v>
      </c>
    </row>
    <row r="758" spans="1:12" ht="12.75" customHeight="1" x14ac:dyDescent="0.2">
      <c r="A758" s="1324"/>
      <c r="B758" s="159"/>
      <c r="C758" s="149"/>
      <c r="D758" s="54">
        <v>480000</v>
      </c>
      <c r="E758" s="55">
        <v>1</v>
      </c>
      <c r="F758" s="474">
        <v>1.2612000000000001</v>
      </c>
      <c r="G758" s="474">
        <v>1.2612000000000001</v>
      </c>
      <c r="H758" s="57">
        <f>G758-F758</f>
        <v>0</v>
      </c>
      <c r="I758" s="57"/>
      <c r="J758" s="57"/>
      <c r="K758" s="198">
        <f>(G758-F758)*D758*E758</f>
        <v>0</v>
      </c>
    </row>
    <row r="759" spans="1:12" ht="12.75" customHeight="1" x14ac:dyDescent="0.2">
      <c r="A759" s="1324"/>
      <c r="B759" s="159" t="s">
        <v>349</v>
      </c>
      <c r="C759" s="149"/>
      <c r="D759" s="54">
        <v>480000</v>
      </c>
      <c r="E759" s="55">
        <v>1</v>
      </c>
      <c r="F759" s="524">
        <v>7.5066800000000002</v>
      </c>
      <c r="G759" s="524">
        <v>7.60954</v>
      </c>
      <c r="H759" s="57">
        <f>G759-F759</f>
        <v>0.10285999999999973</v>
      </c>
      <c r="I759" s="57"/>
      <c r="J759" s="57"/>
      <c r="K759" s="198">
        <f>(G759-F759)*D759*E759</f>
        <v>49372.799999999872</v>
      </c>
    </row>
    <row r="760" spans="1:12" x14ac:dyDescent="0.2">
      <c r="A760" s="1324"/>
      <c r="B760" s="159"/>
      <c r="C760" s="149"/>
      <c r="D760" s="54"/>
      <c r="E760" s="55"/>
      <c r="F760" s="68"/>
      <c r="G760" s="68"/>
      <c r="H760" s="57"/>
      <c r="I760" s="57"/>
      <c r="J760" s="57"/>
      <c r="K760" s="202">
        <f>K758+K759</f>
        <v>49372.799999999872</v>
      </c>
    </row>
    <row r="761" spans="1:12" s="4" customFormat="1" ht="12.75" customHeight="1" x14ac:dyDescent="0.2">
      <c r="A761" s="1324"/>
      <c r="B761" s="61" t="s">
        <v>552</v>
      </c>
      <c r="C761" s="155"/>
      <c r="D761" s="120"/>
      <c r="E761" s="63"/>
      <c r="F761" s="121"/>
      <c r="G761" s="121"/>
      <c r="H761" s="66"/>
      <c r="I761" s="66"/>
      <c r="J761" s="66"/>
      <c r="K761" s="576">
        <f>K757-K760</f>
        <v>259391.99999991729</v>
      </c>
      <c r="L761" s="896">
        <v>4</v>
      </c>
    </row>
    <row r="762" spans="1:12" ht="12.75" customHeight="1" x14ac:dyDescent="0.2">
      <c r="A762" s="1324"/>
      <c r="B762" s="157" t="s">
        <v>550</v>
      </c>
      <c r="C762" s="149"/>
      <c r="D762" s="54">
        <v>720000</v>
      </c>
      <c r="E762" s="55">
        <v>1</v>
      </c>
      <c r="F762" s="524">
        <v>2577.2489999999998</v>
      </c>
      <c r="G762" s="524">
        <v>2589.8139999999999</v>
      </c>
      <c r="H762" s="57">
        <f>G762-F762</f>
        <v>12.565000000000055</v>
      </c>
      <c r="I762" s="57"/>
      <c r="J762" s="57"/>
      <c r="K762" s="202">
        <f>(G762-F762)*D762*E762</f>
        <v>9046800.0000000391</v>
      </c>
    </row>
    <row r="763" spans="1:12" x14ac:dyDescent="0.2">
      <c r="A763" s="1324"/>
      <c r="B763" s="157" t="s">
        <v>551</v>
      </c>
      <c r="C763" s="149"/>
      <c r="D763" s="54">
        <v>720000</v>
      </c>
      <c r="E763" s="55">
        <v>1</v>
      </c>
      <c r="F763" s="524">
        <v>14.308</v>
      </c>
      <c r="G763" s="524">
        <v>14.526999999999999</v>
      </c>
      <c r="H763" s="57">
        <f>G763-F763</f>
        <v>0.21899999999999942</v>
      </c>
      <c r="I763" s="57"/>
      <c r="J763" s="57"/>
      <c r="K763" s="202">
        <f>(G763-F763)*D763*E763</f>
        <v>157679.99999999959</v>
      </c>
    </row>
    <row r="764" spans="1:12" s="4" customFormat="1" x14ac:dyDescent="0.2">
      <c r="A764" s="1324"/>
      <c r="B764" s="61" t="s">
        <v>553</v>
      </c>
      <c r="C764" s="155"/>
      <c r="D764" s="120"/>
      <c r="E764" s="63"/>
      <c r="F764" s="190"/>
      <c r="G764" s="121"/>
      <c r="H764" s="66"/>
      <c r="I764" s="66"/>
      <c r="J764" s="66"/>
      <c r="K764" s="576">
        <f>K762-K763</f>
        <v>8889120.0000000391</v>
      </c>
      <c r="L764" s="896">
        <v>5</v>
      </c>
    </row>
    <row r="765" spans="1:12" ht="12.75" customHeight="1" x14ac:dyDescent="0.2">
      <c r="A765" s="1324"/>
      <c r="B765" s="157" t="s">
        <v>1430</v>
      </c>
      <c r="C765" s="149"/>
      <c r="D765" s="54">
        <v>363636.36359999998</v>
      </c>
      <c r="E765" s="55">
        <v>1</v>
      </c>
      <c r="F765" s="524">
        <v>0</v>
      </c>
      <c r="G765" s="524">
        <v>0</v>
      </c>
      <c r="H765" s="57">
        <f t="shared" ref="H765:H770" si="70">G765-F765</f>
        <v>0</v>
      </c>
      <c r="I765" s="57"/>
      <c r="J765" s="57"/>
      <c r="K765" s="202">
        <f t="shared" ref="K765:K770" si="71">(G765-F765)*D765*E765</f>
        <v>0</v>
      </c>
    </row>
    <row r="766" spans="1:12" x14ac:dyDescent="0.2">
      <c r="A766" s="1324"/>
      <c r="B766" s="157" t="s">
        <v>1429</v>
      </c>
      <c r="C766" s="149"/>
      <c r="D766" s="54">
        <v>363636.36359999998</v>
      </c>
      <c r="E766" s="55">
        <v>1</v>
      </c>
      <c r="F766" s="524">
        <v>78.335820000000012</v>
      </c>
      <c r="G766" s="524">
        <v>78.559100000000001</v>
      </c>
      <c r="H766" s="57">
        <f t="shared" si="70"/>
        <v>0.22327999999998838</v>
      </c>
      <c r="I766" s="57"/>
      <c r="J766" s="57"/>
      <c r="K766" s="198">
        <f t="shared" si="71"/>
        <v>81192.727264603775</v>
      </c>
    </row>
    <row r="767" spans="1:12" ht="12.75" customHeight="1" x14ac:dyDescent="0.2">
      <c r="A767" s="1324"/>
      <c r="B767" s="157" t="s">
        <v>1425</v>
      </c>
      <c r="C767" s="149">
        <v>58376294</v>
      </c>
      <c r="D767" s="54">
        <v>5454545.4550000001</v>
      </c>
      <c r="E767" s="55">
        <v>1</v>
      </c>
      <c r="F767" s="524">
        <v>1707.9380000000001</v>
      </c>
      <c r="G767" s="524">
        <v>1765.0033700000001</v>
      </c>
      <c r="H767" s="57">
        <f t="shared" si="70"/>
        <v>57.06537000000003</v>
      </c>
      <c r="I767" s="57"/>
      <c r="J767" s="57"/>
      <c r="K767" s="198">
        <f t="shared" si="71"/>
        <v>311265654.57139349</v>
      </c>
    </row>
    <row r="768" spans="1:12" x14ac:dyDescent="0.2">
      <c r="A768" s="1324"/>
      <c r="B768" s="157" t="s">
        <v>1426</v>
      </c>
      <c r="C768" s="149">
        <v>58376294</v>
      </c>
      <c r="D768" s="54">
        <v>5454545.4550000001</v>
      </c>
      <c r="E768" s="55">
        <v>1</v>
      </c>
      <c r="F768" s="524">
        <v>9.3392700000000008</v>
      </c>
      <c r="G768" s="524">
        <v>9.724870000000001</v>
      </c>
      <c r="H768" s="57">
        <f t="shared" si="70"/>
        <v>0.38560000000000016</v>
      </c>
      <c r="I768" s="57"/>
      <c r="J768" s="57"/>
      <c r="K768" s="198">
        <f t="shared" si="71"/>
        <v>2103272.727448001</v>
      </c>
    </row>
    <row r="769" spans="1:16" ht="12.75" customHeight="1" x14ac:dyDescent="0.2">
      <c r="A769" s="1324"/>
      <c r="B769" s="157" t="s">
        <v>1427</v>
      </c>
      <c r="C769" s="149">
        <v>58376295</v>
      </c>
      <c r="D769" s="54">
        <v>5454545.4550000001</v>
      </c>
      <c r="E769" s="55">
        <v>1</v>
      </c>
      <c r="F769" s="524">
        <v>1436.9391799999999</v>
      </c>
      <c r="G769" s="524">
        <v>1517.33178</v>
      </c>
      <c r="H769" s="57">
        <f t="shared" si="70"/>
        <v>80.39260000000013</v>
      </c>
      <c r="I769" s="57"/>
      <c r="J769" s="57"/>
      <c r="K769" s="198">
        <f t="shared" si="71"/>
        <v>438505090.94563371</v>
      </c>
    </row>
    <row r="770" spans="1:16" x14ac:dyDescent="0.2">
      <c r="A770" s="1324"/>
      <c r="B770" s="157" t="s">
        <v>1428</v>
      </c>
      <c r="C770" s="149">
        <v>58376295</v>
      </c>
      <c r="D770" s="54">
        <v>5454545.4550000001</v>
      </c>
      <c r="E770" s="55">
        <v>1</v>
      </c>
      <c r="F770" s="524">
        <v>7.2651000000000003</v>
      </c>
      <c r="G770" s="524">
        <v>7.2651000000000003</v>
      </c>
      <c r="H770" s="57">
        <f t="shared" si="70"/>
        <v>0</v>
      </c>
      <c r="I770" s="57"/>
      <c r="J770" s="57"/>
      <c r="K770" s="202">
        <f t="shared" si="71"/>
        <v>0</v>
      </c>
    </row>
    <row r="771" spans="1:16" s="4" customFormat="1" x14ac:dyDescent="0.2">
      <c r="A771" s="1324"/>
      <c r="B771" s="61" t="s">
        <v>1409</v>
      </c>
      <c r="C771" s="155"/>
      <c r="D771" s="120"/>
      <c r="E771" s="63"/>
      <c r="F771" s="190"/>
      <c r="G771" s="121"/>
      <c r="H771" s="66"/>
      <c r="I771" s="66"/>
      <c r="J771" s="66"/>
      <c r="K771" s="576">
        <f>K765+K767+K769-K766-K768-K770</f>
        <v>747586280.06231451</v>
      </c>
      <c r="L771" s="896">
        <v>6</v>
      </c>
      <c r="M771" s="4">
        <v>3063636.363330001</v>
      </c>
      <c r="N771" s="1041">
        <f>M771+K771</f>
        <v>750649916.42564452</v>
      </c>
      <c r="O771" s="1042">
        <f>N771/M771</f>
        <v>245.01926057886652</v>
      </c>
    </row>
    <row r="772" spans="1:16" x14ac:dyDescent="0.2">
      <c r="A772" s="1324"/>
      <c r="B772" s="154" t="s">
        <v>203</v>
      </c>
      <c r="C772" s="132"/>
      <c r="D772" s="132"/>
      <c r="E772" s="142"/>
      <c r="F772" s="118"/>
      <c r="G772" s="118"/>
      <c r="H772" s="118"/>
      <c r="I772" s="118"/>
      <c r="J772" s="118"/>
      <c r="K772" s="1239">
        <f>K761+K754+K751+K748+K764+K771</f>
        <v>758547656.06231439</v>
      </c>
      <c r="M772" s="365" t="s">
        <v>1329</v>
      </c>
      <c r="P772" s="1228" t="s">
        <v>1624</v>
      </c>
    </row>
    <row r="773" spans="1:16" ht="12.75" customHeight="1" x14ac:dyDescent="0.2">
      <c r="A773" s="1308" t="s">
        <v>1</v>
      </c>
      <c r="B773" s="42" t="s">
        <v>204</v>
      </c>
      <c r="C773" s="43" t="s">
        <v>205</v>
      </c>
      <c r="D773" s="43">
        <v>10000</v>
      </c>
      <c r="E773" s="44">
        <v>1</v>
      </c>
      <c r="F773" s="534">
        <v>912474.5</v>
      </c>
      <c r="G773" s="534">
        <v>912778</v>
      </c>
      <c r="H773" s="46">
        <f t="shared" ref="H773:H779" si="72">G773-F773</f>
        <v>303.5</v>
      </c>
      <c r="I773" s="46">
        <v>222136</v>
      </c>
      <c r="J773" s="46">
        <v>222136</v>
      </c>
      <c r="K773" s="194">
        <f>(G773-F773)*D773*E773</f>
        <v>3035000</v>
      </c>
    </row>
    <row r="774" spans="1:16" x14ac:dyDescent="0.2">
      <c r="A774" s="1309"/>
      <c r="B774" s="42" t="s">
        <v>206</v>
      </c>
      <c r="C774" s="43" t="s">
        <v>207</v>
      </c>
      <c r="D774" s="43">
        <v>100</v>
      </c>
      <c r="E774" s="44">
        <v>1</v>
      </c>
      <c r="F774" s="534">
        <v>685812</v>
      </c>
      <c r="G774" s="534">
        <v>687002</v>
      </c>
      <c r="H774" s="46">
        <f t="shared" si="72"/>
        <v>1190</v>
      </c>
      <c r="I774" s="46">
        <v>431436</v>
      </c>
      <c r="J774" s="46">
        <v>431436</v>
      </c>
      <c r="K774" s="194">
        <f>(G774-F774)*D774*E774</f>
        <v>119000</v>
      </c>
    </row>
    <row r="775" spans="1:16" s="4" customFormat="1" x14ac:dyDescent="0.2">
      <c r="A775" s="1309"/>
      <c r="B775" s="61" t="s">
        <v>325</v>
      </c>
      <c r="C775" s="120"/>
      <c r="D775" s="120"/>
      <c r="E775" s="63"/>
      <c r="F775" s="121"/>
      <c r="G775" s="121"/>
      <c r="H775" s="66"/>
      <c r="I775" s="66"/>
      <c r="J775" s="66"/>
      <c r="K775" s="576">
        <f>K773-K774</f>
        <v>2916000</v>
      </c>
      <c r="L775" s="896">
        <v>1</v>
      </c>
      <c r="O775" s="1227" t="s">
        <v>1624</v>
      </c>
    </row>
    <row r="776" spans="1:16" x14ac:dyDescent="0.2">
      <c r="A776" s="1309"/>
      <c r="B776" s="47" t="s">
        <v>208</v>
      </c>
      <c r="C776" s="147" t="s">
        <v>209</v>
      </c>
      <c r="D776" s="43">
        <v>1000</v>
      </c>
      <c r="E776" s="44">
        <v>1</v>
      </c>
      <c r="F776" s="126">
        <v>485669</v>
      </c>
      <c r="G776" s="126">
        <v>485669</v>
      </c>
      <c r="H776" s="46">
        <f t="shared" si="72"/>
        <v>0</v>
      </c>
      <c r="I776" s="46"/>
      <c r="J776" s="46"/>
      <c r="K776" s="194">
        <f>(G776-F776)*D776*E776</f>
        <v>0</v>
      </c>
    </row>
    <row r="777" spans="1:16" x14ac:dyDescent="0.2">
      <c r="A777" s="1309"/>
      <c r="B777" s="50" t="s">
        <v>8</v>
      </c>
      <c r="C777" s="147"/>
      <c r="D777" s="43"/>
      <c r="E777" s="44"/>
      <c r="F777" s="70"/>
      <c r="G777" s="70"/>
      <c r="H777" s="46"/>
      <c r="I777" s="46"/>
      <c r="J777" s="46"/>
      <c r="K777" s="195">
        <f>K776</f>
        <v>0</v>
      </c>
    </row>
    <row r="778" spans="1:16" x14ac:dyDescent="0.2">
      <c r="A778" s="1309"/>
      <c r="B778" s="159" t="s">
        <v>294</v>
      </c>
      <c r="C778" s="147" t="s">
        <v>209</v>
      </c>
      <c r="D778" s="43">
        <v>1</v>
      </c>
      <c r="E778" s="44">
        <v>1</v>
      </c>
      <c r="F778" s="528">
        <v>15103130</v>
      </c>
      <c r="G778" s="528">
        <v>15111380</v>
      </c>
      <c r="H778" s="46">
        <f t="shared" si="72"/>
        <v>8250</v>
      </c>
      <c r="I778" s="46"/>
      <c r="J778" s="46"/>
      <c r="K778" s="194">
        <f>(G778-F778)*D778*E778</f>
        <v>8250</v>
      </c>
    </row>
    <row r="779" spans="1:16" x14ac:dyDescent="0.2">
      <c r="A779" s="1309"/>
      <c r="B779" s="464" t="s">
        <v>371</v>
      </c>
      <c r="C779" s="149">
        <v>2186768</v>
      </c>
      <c r="D779" s="54">
        <v>1000</v>
      </c>
      <c r="E779" s="55">
        <v>1</v>
      </c>
      <c r="F779" s="527">
        <v>71654</v>
      </c>
      <c r="G779" s="528">
        <v>71654</v>
      </c>
      <c r="H779" s="957">
        <f t="shared" si="72"/>
        <v>0</v>
      </c>
      <c r="I779" s="57"/>
      <c r="J779" s="57"/>
      <c r="K779" s="194">
        <f>(G779-F779)*D779*E779</f>
        <v>0</v>
      </c>
    </row>
    <row r="780" spans="1:16" x14ac:dyDescent="0.2">
      <c r="A780" s="1309"/>
      <c r="B780" s="162" t="s">
        <v>52</v>
      </c>
      <c r="C780" s="149"/>
      <c r="D780" s="54"/>
      <c r="E780" s="55"/>
      <c r="F780" s="474"/>
      <c r="G780" s="68"/>
      <c r="H780" s="57"/>
      <c r="I780" s="57"/>
      <c r="J780" s="57"/>
      <c r="K780" s="202">
        <f>K778+K779</f>
        <v>8250</v>
      </c>
      <c r="O780" s="365"/>
    </row>
    <row r="781" spans="1:16" s="4" customFormat="1" x14ac:dyDescent="0.2">
      <c r="A781" s="1309"/>
      <c r="B781" s="163" t="s">
        <v>210</v>
      </c>
      <c r="C781" s="62"/>
      <c r="D781" s="62"/>
      <c r="E781" s="63"/>
      <c r="F781" s="64"/>
      <c r="G781" s="64"/>
      <c r="H781" s="65"/>
      <c r="I781" s="66"/>
      <c r="J781" s="66"/>
      <c r="K781" s="576">
        <f>K777-K780</f>
        <v>-8250</v>
      </c>
      <c r="L781" s="896">
        <v>2</v>
      </c>
      <c r="O781" s="365" t="s">
        <v>1624</v>
      </c>
    </row>
    <row r="782" spans="1:16" x14ac:dyDescent="0.2">
      <c r="A782" s="1309"/>
      <c r="B782" s="859" t="s">
        <v>211</v>
      </c>
      <c r="C782" s="1333" t="s">
        <v>328</v>
      </c>
      <c r="D782" s="845">
        <v>480000</v>
      </c>
      <c r="E782" s="846">
        <v>1</v>
      </c>
      <c r="F782" s="847">
        <v>6458.15</v>
      </c>
      <c r="G782" s="847">
        <v>6458.15</v>
      </c>
      <c r="H782" s="848">
        <f t="shared" ref="H782:H811" si="73">G782-F782</f>
        <v>0</v>
      </c>
      <c r="I782" s="848"/>
      <c r="J782" s="848"/>
      <c r="K782" s="849">
        <f>(G782-F782)*D782*E782</f>
        <v>0</v>
      </c>
    </row>
    <row r="783" spans="1:16" x14ac:dyDescent="0.2">
      <c r="A783" s="1309"/>
      <c r="B783" s="859" t="s">
        <v>212</v>
      </c>
      <c r="C783" s="1333"/>
      <c r="D783" s="845">
        <v>480000</v>
      </c>
      <c r="E783" s="846">
        <v>1</v>
      </c>
      <c r="F783" s="847">
        <v>33.24</v>
      </c>
      <c r="G783" s="847">
        <v>33.24</v>
      </c>
      <c r="H783" s="848">
        <f t="shared" si="73"/>
        <v>0</v>
      </c>
      <c r="I783" s="848"/>
      <c r="J783" s="848"/>
      <c r="K783" s="849">
        <f>(G783-F783)*D783*E783</f>
        <v>0</v>
      </c>
    </row>
    <row r="784" spans="1:16" x14ac:dyDescent="0.2">
      <c r="A784" s="1309"/>
      <c r="B784" s="859" t="s">
        <v>342</v>
      </c>
      <c r="C784" s="863"/>
      <c r="D784" s="845"/>
      <c r="E784" s="846"/>
      <c r="F784" s="847"/>
      <c r="G784" s="847"/>
      <c r="H784" s="848">
        <f t="shared" si="73"/>
        <v>0</v>
      </c>
      <c r="I784" s="848"/>
      <c r="J784" s="848"/>
      <c r="K784" s="849">
        <f>(G784-F784)*D784*E784</f>
        <v>0</v>
      </c>
    </row>
    <row r="785" spans="1:13" x14ac:dyDescent="0.2">
      <c r="A785" s="1309"/>
      <c r="B785" s="859" t="s">
        <v>343</v>
      </c>
      <c r="C785" s="863" t="s">
        <v>341</v>
      </c>
      <c r="D785" s="845">
        <v>1000</v>
      </c>
      <c r="E785" s="846">
        <v>1.05</v>
      </c>
      <c r="F785" s="847">
        <v>5271.06</v>
      </c>
      <c r="G785" s="847">
        <v>5271.06</v>
      </c>
      <c r="H785" s="848">
        <f t="shared" si="73"/>
        <v>0</v>
      </c>
      <c r="I785" s="848"/>
      <c r="J785" s="848"/>
      <c r="K785" s="849">
        <f>H785*E785*D785</f>
        <v>0</v>
      </c>
    </row>
    <row r="786" spans="1:13" s="4" customFormat="1" x14ac:dyDescent="0.2">
      <c r="A786" s="1309"/>
      <c r="B786" s="860" t="s">
        <v>213</v>
      </c>
      <c r="C786" s="851"/>
      <c r="D786" s="851"/>
      <c r="E786" s="846"/>
      <c r="F786" s="852"/>
      <c r="G786" s="852"/>
      <c r="H786" s="861"/>
      <c r="I786" s="848"/>
      <c r="J786" s="848"/>
      <c r="K786" s="862">
        <f>K784-K785</f>
        <v>0</v>
      </c>
      <c r="L786" s="896"/>
    </row>
    <row r="787" spans="1:13" x14ac:dyDescent="0.2">
      <c r="A787" s="1309"/>
      <c r="B787" s="42" t="s">
        <v>581</v>
      </c>
      <c r="C787" s="43">
        <v>38337943</v>
      </c>
      <c r="D787" s="164">
        <v>240000</v>
      </c>
      <c r="E787" s="44">
        <v>1</v>
      </c>
      <c r="F787" s="524">
        <v>4049.3530000000001</v>
      </c>
      <c r="G787" s="524">
        <v>4049.3530000000001</v>
      </c>
      <c r="H787" s="46">
        <f t="shared" si="73"/>
        <v>0</v>
      </c>
      <c r="I787" s="46"/>
      <c r="J787" s="46"/>
      <c r="K787" s="194">
        <f>(G787-F787)*D787*E787</f>
        <v>0</v>
      </c>
    </row>
    <row r="788" spans="1:13" x14ac:dyDescent="0.2">
      <c r="A788" s="1309"/>
      <c r="B788" s="42" t="s">
        <v>582</v>
      </c>
      <c r="C788" s="43">
        <v>38337943</v>
      </c>
      <c r="D788" s="164">
        <v>240000</v>
      </c>
      <c r="E788" s="44">
        <v>1</v>
      </c>
      <c r="F788" s="524">
        <v>1.0071000000000001</v>
      </c>
      <c r="G788" s="524">
        <v>1.0099</v>
      </c>
      <c r="H788" s="46">
        <f t="shared" si="73"/>
        <v>2.7999999999999137E-3</v>
      </c>
      <c r="I788" s="46"/>
      <c r="J788" s="46"/>
      <c r="K788" s="194">
        <f>(G788-F788)*D788*E788</f>
        <v>671.99999999997931</v>
      </c>
    </row>
    <row r="789" spans="1:13" x14ac:dyDescent="0.2">
      <c r="A789" s="1309"/>
      <c r="B789" s="59" t="s">
        <v>408</v>
      </c>
      <c r="C789" s="43"/>
      <c r="D789" s="164"/>
      <c r="E789" s="44"/>
      <c r="F789" s="70"/>
      <c r="G789" s="70"/>
      <c r="H789" s="46"/>
      <c r="I789" s="46"/>
      <c r="J789" s="46"/>
      <c r="K789" s="194">
        <f>K787</f>
        <v>0</v>
      </c>
    </row>
    <row r="790" spans="1:13" x14ac:dyDescent="0.2">
      <c r="A790" s="1309"/>
      <c r="B790" s="59" t="s">
        <v>409</v>
      </c>
      <c r="C790" s="43"/>
      <c r="D790" s="164"/>
      <c r="E790" s="44"/>
      <c r="F790" s="474"/>
      <c r="G790" s="70"/>
      <c r="H790" s="46"/>
      <c r="I790" s="46"/>
      <c r="J790" s="46"/>
      <c r="K790" s="194">
        <f>K788</f>
        <v>671.99999999997931</v>
      </c>
    </row>
    <row r="791" spans="1:13" s="4" customFormat="1" x14ac:dyDescent="0.2">
      <c r="A791" s="1309"/>
      <c r="B791" s="61" t="s">
        <v>214</v>
      </c>
      <c r="C791" s="62"/>
      <c r="D791" s="62"/>
      <c r="E791" s="63"/>
      <c r="F791" s="64"/>
      <c r="G791" s="64"/>
      <c r="H791" s="65"/>
      <c r="I791" s="66"/>
      <c r="J791" s="66"/>
      <c r="K791" s="576">
        <f>K789-K790</f>
        <v>-671.99999999997931</v>
      </c>
      <c r="L791" s="896">
        <v>3</v>
      </c>
    </row>
    <row r="792" spans="1:13" s="4" customFormat="1" ht="13.5" x14ac:dyDescent="0.25">
      <c r="A792" s="1309"/>
      <c r="B792" s="572" t="s">
        <v>1088</v>
      </c>
      <c r="C792" s="401">
        <v>38992581</v>
      </c>
      <c r="D792" s="401">
        <v>480000</v>
      </c>
      <c r="E792" s="402">
        <v>1</v>
      </c>
      <c r="F792" s="521">
        <v>881.69449999999995</v>
      </c>
      <c r="G792" s="521">
        <v>886.62040000000002</v>
      </c>
      <c r="H792" s="87">
        <f t="shared" si="73"/>
        <v>4.9259000000000697</v>
      </c>
      <c r="I792" s="404"/>
      <c r="J792" s="404"/>
      <c r="K792" s="194">
        <f>(G792-F792)*D792*E792</f>
        <v>2364432.0000000335</v>
      </c>
      <c r="L792" s="896"/>
    </row>
    <row r="793" spans="1:13" ht="13.5" x14ac:dyDescent="0.25">
      <c r="A793" s="1309"/>
      <c r="B793" s="572" t="s">
        <v>1089</v>
      </c>
      <c r="C793" s="85">
        <v>38992581</v>
      </c>
      <c r="D793" s="85">
        <v>480000</v>
      </c>
      <c r="E793" s="86">
        <v>1</v>
      </c>
      <c r="F793" s="521">
        <v>8.0878999999999994</v>
      </c>
      <c r="G793" s="521">
        <v>8.2463999999999995</v>
      </c>
      <c r="H793" s="87">
        <f t="shared" si="73"/>
        <v>0.15850000000000009</v>
      </c>
      <c r="I793" s="46"/>
      <c r="J793" s="46"/>
      <c r="K793" s="194">
        <f>(G793-F793)*D793*E793</f>
        <v>76080.000000000044</v>
      </c>
    </row>
    <row r="794" spans="1:13" s="4" customFormat="1" x14ac:dyDescent="0.2">
      <c r="A794" s="1309"/>
      <c r="B794" s="165" t="s">
        <v>215</v>
      </c>
      <c r="C794" s="62"/>
      <c r="D794" s="62"/>
      <c r="E794" s="63"/>
      <c r="F794" s="64"/>
      <c r="G794" s="64"/>
      <c r="H794" s="90"/>
      <c r="I794" s="66"/>
      <c r="J794" s="66"/>
      <c r="K794" s="577">
        <f>K792-K793</f>
        <v>2288352.0000000335</v>
      </c>
      <c r="L794" s="896">
        <v>4</v>
      </c>
    </row>
    <row r="795" spans="1:13" ht="12.75" hidden="1" customHeight="1" x14ac:dyDescent="0.2">
      <c r="A795" s="1309"/>
      <c r="B795" s="166" t="s">
        <v>216</v>
      </c>
      <c r="C795" s="147" t="s">
        <v>217</v>
      </c>
      <c r="D795" s="43">
        <v>36000</v>
      </c>
      <c r="E795" s="44">
        <v>1</v>
      </c>
      <c r="F795" s="70">
        <v>13060.611000000001</v>
      </c>
      <c r="G795" s="70">
        <v>13060.611000000001</v>
      </c>
      <c r="H795" s="87">
        <f t="shared" si="73"/>
        <v>0</v>
      </c>
      <c r="I795" s="46"/>
      <c r="J795" s="46"/>
      <c r="K795" s="194">
        <f>(G795-F795)*D795*E795</f>
        <v>0</v>
      </c>
    </row>
    <row r="796" spans="1:13" s="997" customFormat="1" x14ac:dyDescent="0.2">
      <c r="A796" s="1309"/>
      <c r="B796" s="989" t="s">
        <v>216</v>
      </c>
      <c r="C796" s="990" t="s">
        <v>217</v>
      </c>
      <c r="D796" s="991">
        <v>36000</v>
      </c>
      <c r="E796" s="992">
        <v>1</v>
      </c>
      <c r="F796" s="993">
        <v>24004.501</v>
      </c>
      <c r="G796" s="993">
        <v>24004.501</v>
      </c>
      <c r="H796" s="994">
        <f t="shared" si="73"/>
        <v>0</v>
      </c>
      <c r="I796" s="994"/>
      <c r="J796" s="994"/>
      <c r="K796" s="995">
        <f>(G796-F796)*D796*E796</f>
        <v>0</v>
      </c>
      <c r="L796" s="996"/>
      <c r="M796" s="1323" t="s">
        <v>1402</v>
      </c>
    </row>
    <row r="797" spans="1:13" s="997" customFormat="1" x14ac:dyDescent="0.2">
      <c r="A797" s="1309"/>
      <c r="B797" s="989" t="s">
        <v>218</v>
      </c>
      <c r="C797" s="990" t="s">
        <v>217</v>
      </c>
      <c r="D797" s="991">
        <v>36000</v>
      </c>
      <c r="E797" s="992">
        <v>1</v>
      </c>
      <c r="F797" s="993">
        <v>16.109000000000002</v>
      </c>
      <c r="G797" s="993">
        <v>16.109000000000002</v>
      </c>
      <c r="H797" s="994">
        <f t="shared" si="73"/>
        <v>0</v>
      </c>
      <c r="I797" s="994"/>
      <c r="J797" s="994"/>
      <c r="K797" s="995">
        <f>(G797-F797)*D797*E797</f>
        <v>0</v>
      </c>
      <c r="L797" s="996"/>
      <c r="M797" s="1323"/>
    </row>
    <row r="798" spans="1:13" s="4" customFormat="1" x14ac:dyDescent="0.2">
      <c r="A798" s="1309"/>
      <c r="B798" s="165" t="s">
        <v>219</v>
      </c>
      <c r="C798" s="62"/>
      <c r="D798" s="62"/>
      <c r="E798" s="63"/>
      <c r="F798" s="64"/>
      <c r="G798" s="64"/>
      <c r="H798" s="90"/>
      <c r="I798" s="66"/>
      <c r="J798" s="66"/>
      <c r="K798" s="576">
        <f>K795+K796-K797</f>
        <v>0</v>
      </c>
      <c r="L798" s="896">
        <v>5</v>
      </c>
    </row>
    <row r="799" spans="1:13" x14ac:dyDescent="0.2">
      <c r="A799" s="1309"/>
      <c r="B799" s="166" t="s">
        <v>220</v>
      </c>
      <c r="C799" s="43">
        <v>38992549</v>
      </c>
      <c r="D799" s="136">
        <v>720000</v>
      </c>
      <c r="E799" s="44">
        <v>1</v>
      </c>
      <c r="F799" s="528">
        <v>265.36200000000002</v>
      </c>
      <c r="G799" s="528">
        <v>265.91800000000001</v>
      </c>
      <c r="H799" s="87">
        <f t="shared" si="73"/>
        <v>0.55599999999998317</v>
      </c>
      <c r="I799" s="46"/>
      <c r="J799" s="46"/>
      <c r="K799" s="194">
        <f>(G799-F799)*D799*E799</f>
        <v>400319.99999998789</v>
      </c>
    </row>
    <row r="800" spans="1:13" x14ac:dyDescent="0.2">
      <c r="A800" s="1309"/>
      <c r="B800" s="166" t="s">
        <v>221</v>
      </c>
      <c r="C800" s="43">
        <v>38992549</v>
      </c>
      <c r="D800" s="136">
        <v>720000</v>
      </c>
      <c r="E800" s="44">
        <v>1</v>
      </c>
      <c r="F800" s="528">
        <v>8.0593000000000004</v>
      </c>
      <c r="G800" s="528">
        <v>8.2380999999999993</v>
      </c>
      <c r="H800" s="87">
        <f t="shared" si="73"/>
        <v>0.17879999999999896</v>
      </c>
      <c r="I800" s="46"/>
      <c r="J800" s="46"/>
      <c r="K800" s="194">
        <f>(G800-F800)*D800*E800</f>
        <v>128735.99999999926</v>
      </c>
    </row>
    <row r="801" spans="1:12" s="4" customFormat="1" x14ac:dyDescent="0.2">
      <c r="A801" s="1309"/>
      <c r="B801" s="165" t="s">
        <v>222</v>
      </c>
      <c r="C801" s="62"/>
      <c r="D801" s="62"/>
      <c r="E801" s="63"/>
      <c r="F801" s="64"/>
      <c r="G801" s="64"/>
      <c r="H801" s="90"/>
      <c r="I801" s="66"/>
      <c r="J801" s="66"/>
      <c r="K801" s="578">
        <f>K799-K800</f>
        <v>271583.99999998865</v>
      </c>
      <c r="L801" s="896">
        <v>6</v>
      </c>
    </row>
    <row r="802" spans="1:12" ht="12.75" hidden="1" customHeight="1" x14ac:dyDescent="0.2">
      <c r="A802" s="1309"/>
      <c r="B802" s="167" t="s">
        <v>312</v>
      </c>
      <c r="C802" s="409">
        <v>1668101</v>
      </c>
      <c r="D802" s="409">
        <v>1000</v>
      </c>
      <c r="E802" s="410">
        <v>1</v>
      </c>
      <c r="F802" s="515">
        <v>131551.1</v>
      </c>
      <c r="G802" s="515">
        <v>131551.1</v>
      </c>
      <c r="H802" s="87">
        <f t="shared" si="73"/>
        <v>0</v>
      </c>
      <c r="I802" s="46"/>
      <c r="J802" s="46"/>
      <c r="K802" s="206">
        <f t="shared" ref="K802:K808" si="74">(G802-F802)*D802*E802</f>
        <v>0</v>
      </c>
    </row>
    <row r="803" spans="1:12" ht="12.75" hidden="1" customHeight="1" x14ac:dyDescent="0.2">
      <c r="A803" s="1309"/>
      <c r="B803" s="1334" t="s">
        <v>312</v>
      </c>
      <c r="C803" s="1337">
        <v>50136497</v>
      </c>
      <c r="D803" s="409">
        <v>288000</v>
      </c>
      <c r="E803" s="410">
        <v>1</v>
      </c>
      <c r="F803" s="515">
        <v>15.65</v>
      </c>
      <c r="G803" s="515">
        <v>15.65</v>
      </c>
      <c r="H803" s="87">
        <f>G803-F803</f>
        <v>0</v>
      </c>
      <c r="I803" s="46"/>
      <c r="J803" s="46"/>
      <c r="K803" s="206">
        <f t="shared" si="74"/>
        <v>0</v>
      </c>
    </row>
    <row r="804" spans="1:12" ht="12.75" hidden="1" customHeight="1" x14ac:dyDescent="0.2">
      <c r="A804" s="1309"/>
      <c r="B804" s="1334"/>
      <c r="C804" s="1337"/>
      <c r="D804" s="409">
        <v>288000</v>
      </c>
      <c r="E804" s="410">
        <v>1</v>
      </c>
      <c r="F804" s="515">
        <v>1579.02</v>
      </c>
      <c r="G804" s="515">
        <v>1579.02</v>
      </c>
      <c r="H804" s="87">
        <f>G804-F804</f>
        <v>0</v>
      </c>
      <c r="I804" s="46"/>
      <c r="J804" s="46"/>
      <c r="K804" s="206">
        <f t="shared" si="74"/>
        <v>0</v>
      </c>
    </row>
    <row r="805" spans="1:12" x14ac:dyDescent="0.2">
      <c r="A805" s="1309"/>
      <c r="B805" s="167" t="s">
        <v>312</v>
      </c>
      <c r="C805" s="1321">
        <v>50136501</v>
      </c>
      <c r="D805" s="85">
        <v>960000</v>
      </c>
      <c r="E805" s="86">
        <v>1</v>
      </c>
      <c r="F805" s="535">
        <v>855.32680000000005</v>
      </c>
      <c r="G805" s="535">
        <v>857.93889999999999</v>
      </c>
      <c r="H805" s="87">
        <f t="shared" si="73"/>
        <v>2.6120999999999412</v>
      </c>
      <c r="I805" s="46"/>
      <c r="J805" s="46"/>
      <c r="K805" s="206">
        <f>(G805-F805)*D805*E805</f>
        <v>2507615.9999999437</v>
      </c>
    </row>
    <row r="806" spans="1:12" x14ac:dyDescent="0.2">
      <c r="A806" s="1309"/>
      <c r="B806" s="167" t="s">
        <v>313</v>
      </c>
      <c r="C806" s="1322"/>
      <c r="D806" s="85">
        <v>960000</v>
      </c>
      <c r="E806" s="86">
        <v>1</v>
      </c>
      <c r="F806" s="535">
        <v>2.4081000000000001</v>
      </c>
      <c r="G806" s="535">
        <v>2.4238</v>
      </c>
      <c r="H806" s="87">
        <f t="shared" si="73"/>
        <v>1.5699999999999825E-2</v>
      </c>
      <c r="I806" s="46"/>
      <c r="J806" s="46"/>
      <c r="K806" s="206">
        <f t="shared" si="74"/>
        <v>15071.999999999833</v>
      </c>
    </row>
    <row r="807" spans="1:12" ht="12.75" hidden="1" customHeight="1" x14ac:dyDescent="0.2">
      <c r="A807" s="1309"/>
      <c r="B807" s="167" t="s">
        <v>313</v>
      </c>
      <c r="C807" s="409">
        <v>1668101</v>
      </c>
      <c r="D807" s="409">
        <v>1000</v>
      </c>
      <c r="E807" s="410">
        <v>1</v>
      </c>
      <c r="F807" s="515">
        <v>449238.6</v>
      </c>
      <c r="G807" s="515">
        <v>449238.6</v>
      </c>
      <c r="H807" s="87">
        <f t="shared" si="73"/>
        <v>0</v>
      </c>
      <c r="I807" s="46"/>
      <c r="J807" s="46"/>
      <c r="K807" s="206">
        <f t="shared" si="74"/>
        <v>0</v>
      </c>
    </row>
    <row r="808" spans="1:12" ht="12.75" hidden="1" customHeight="1" x14ac:dyDescent="0.2">
      <c r="A808" s="1309"/>
      <c r="B808" s="167" t="s">
        <v>313</v>
      </c>
      <c r="C808" s="409">
        <v>50136497</v>
      </c>
      <c r="D808" s="409">
        <v>288000</v>
      </c>
      <c r="E808" s="410">
        <v>1</v>
      </c>
      <c r="F808" s="518">
        <v>9.43</v>
      </c>
      <c r="G808" s="518">
        <v>9.43</v>
      </c>
      <c r="H808" s="168">
        <f>G808-F808</f>
        <v>0</v>
      </c>
      <c r="I808" s="46"/>
      <c r="J808" s="46"/>
      <c r="K808" s="206">
        <f t="shared" si="74"/>
        <v>0</v>
      </c>
    </row>
    <row r="809" spans="1:12" s="4" customFormat="1" x14ac:dyDescent="0.2">
      <c r="A809" s="1309"/>
      <c r="B809" s="165" t="s">
        <v>314</v>
      </c>
      <c r="C809" s="62"/>
      <c r="D809" s="62"/>
      <c r="E809" s="63"/>
      <c r="F809" s="64"/>
      <c r="G809" s="64"/>
      <c r="H809" s="65"/>
      <c r="I809" s="66"/>
      <c r="J809" s="66"/>
      <c r="K809" s="578">
        <f>K805-K806</f>
        <v>2492543.9999999437</v>
      </c>
      <c r="L809" s="896">
        <v>7</v>
      </c>
    </row>
    <row r="810" spans="1:12" ht="12.75" hidden="1" customHeight="1" x14ac:dyDescent="0.2">
      <c r="A810" s="1309"/>
      <c r="B810" s="169" t="s">
        <v>310</v>
      </c>
      <c r="C810" s="78">
        <v>9699784</v>
      </c>
      <c r="D810" s="79">
        <v>2090909.0909</v>
      </c>
      <c r="E810" s="170">
        <v>0.99480000000000002</v>
      </c>
      <c r="F810" s="403">
        <v>233.49680000000001</v>
      </c>
      <c r="G810" s="80">
        <v>233.49680000000001</v>
      </c>
      <c r="H810" s="81">
        <f t="shared" si="73"/>
        <v>0</v>
      </c>
      <c r="I810" s="81"/>
      <c r="J810" s="81"/>
      <c r="K810" s="198">
        <f>(G810-F810)*D810*E810</f>
        <v>0</v>
      </c>
    </row>
    <row r="811" spans="1:12" ht="12.75" hidden="1" customHeight="1" x14ac:dyDescent="0.2">
      <c r="A811" s="1309"/>
      <c r="B811" s="169" t="s">
        <v>311</v>
      </c>
      <c r="C811" s="78">
        <v>9699784</v>
      </c>
      <c r="D811" s="79">
        <v>2090909.0909</v>
      </c>
      <c r="E811" s="170">
        <v>0.99480000000000002</v>
      </c>
      <c r="F811" s="403">
        <v>233.49680000000001</v>
      </c>
      <c r="G811" s="80">
        <v>233.49680000000001</v>
      </c>
      <c r="H811" s="81">
        <f t="shared" si="73"/>
        <v>0</v>
      </c>
      <c r="I811" s="81"/>
      <c r="J811" s="81"/>
      <c r="K811" s="198">
        <f>(G811-F811)*D811*E811</f>
        <v>0</v>
      </c>
    </row>
    <row r="812" spans="1:12" ht="12.75" hidden="1" customHeight="1" x14ac:dyDescent="0.2">
      <c r="A812" s="1309"/>
      <c r="B812" s="171" t="s">
        <v>332</v>
      </c>
      <c r="C812" s="78"/>
      <c r="D812" s="78"/>
      <c r="E812" s="79"/>
      <c r="F812" s="403"/>
      <c r="G812" s="80"/>
      <c r="H812" s="81"/>
      <c r="I812" s="81"/>
      <c r="J812" s="81"/>
      <c r="K812" s="202">
        <f>K810-K811</f>
        <v>0</v>
      </c>
    </row>
    <row r="813" spans="1:12" s="4" customFormat="1" ht="12.75" hidden="1" customHeight="1" x14ac:dyDescent="0.2">
      <c r="A813" s="1309"/>
      <c r="B813" s="536" t="s">
        <v>1063</v>
      </c>
      <c r="C813" s="78">
        <v>9699784</v>
      </c>
      <c r="D813" s="385">
        <v>2090909.0909090911</v>
      </c>
      <c r="E813" s="79">
        <v>1</v>
      </c>
      <c r="F813" s="80">
        <v>1373.4444249999999</v>
      </c>
      <c r="G813" s="80">
        <v>1373.4444249999999</v>
      </c>
      <c r="H813" s="81">
        <f>G813-F813</f>
        <v>0</v>
      </c>
      <c r="I813" s="81"/>
      <c r="J813" s="81"/>
      <c r="K813" s="198">
        <f>(G813-F813)*D813*E813</f>
        <v>0</v>
      </c>
      <c r="L813" s="896"/>
    </row>
    <row r="814" spans="1:12" s="4" customFormat="1" x14ac:dyDescent="0.2">
      <c r="A814" s="1309"/>
      <c r="B814" s="167" t="s">
        <v>1092</v>
      </c>
      <c r="C814" s="78">
        <v>216566641</v>
      </c>
      <c r="D814" s="385">
        <v>2090909.0909090911</v>
      </c>
      <c r="E814" s="172">
        <v>1</v>
      </c>
      <c r="F814" s="998">
        <v>3860.8275899999999</v>
      </c>
      <c r="G814" s="998">
        <v>3912.33941</v>
      </c>
      <c r="H814" s="82">
        <f>G814-F814</f>
        <v>51.511820000000171</v>
      </c>
      <c r="I814" s="81"/>
      <c r="J814" s="81"/>
      <c r="K814" s="198">
        <f>(G814-F814)*D814*E814</f>
        <v>107706532.72727309</v>
      </c>
      <c r="L814" s="749"/>
    </row>
    <row r="815" spans="1:12" s="4" customFormat="1" x14ac:dyDescent="0.2">
      <c r="A815" s="1309"/>
      <c r="B815" s="167" t="s">
        <v>1095</v>
      </c>
      <c r="C815" s="78">
        <v>216566641</v>
      </c>
      <c r="D815" s="385">
        <v>2090909.0909090911</v>
      </c>
      <c r="E815" s="172">
        <v>1</v>
      </c>
      <c r="F815" s="999">
        <v>6.9077500000000001</v>
      </c>
      <c r="G815" s="999">
        <v>6.9321599999999997</v>
      </c>
      <c r="H815" s="81">
        <f>G815-F815</f>
        <v>2.4409999999999599E-2</v>
      </c>
      <c r="I815" s="81"/>
      <c r="J815" s="81"/>
      <c r="K815" s="198">
        <f>(G815-F815)*D815*E815</f>
        <v>51039.090909090075</v>
      </c>
      <c r="L815" s="749"/>
    </row>
    <row r="816" spans="1:12" s="4" customFormat="1" x14ac:dyDescent="0.2">
      <c r="A816" s="1309"/>
      <c r="B816" s="165" t="s">
        <v>1093</v>
      </c>
      <c r="C816" s="109"/>
      <c r="D816" s="573"/>
      <c r="E816" s="574"/>
      <c r="F816" s="111"/>
      <c r="G816" s="111"/>
      <c r="H816" s="112"/>
      <c r="I816" s="112"/>
      <c r="J816" s="112"/>
      <c r="K816" s="576">
        <f>K814-K815</f>
        <v>107655493.636364</v>
      </c>
      <c r="L816" s="926">
        <v>8</v>
      </c>
    </row>
    <row r="817" spans="1:12" s="4" customFormat="1" ht="12.75" hidden="1" customHeight="1" x14ac:dyDescent="0.2">
      <c r="A817" s="1309"/>
      <c r="B817" s="536" t="s">
        <v>311</v>
      </c>
      <c r="C817" s="78">
        <v>9699785</v>
      </c>
      <c r="D817" s="385">
        <v>2090909.0909090911</v>
      </c>
      <c r="E817" s="172">
        <v>1</v>
      </c>
      <c r="F817" s="80">
        <v>233.83962500000001</v>
      </c>
      <c r="G817" s="80">
        <v>233.83962500000001</v>
      </c>
      <c r="H817" s="81">
        <f>G817-F817</f>
        <v>0</v>
      </c>
      <c r="I817" s="81"/>
      <c r="J817" s="81"/>
      <c r="K817" s="198">
        <f>(G817-F817)*D817*E817</f>
        <v>0</v>
      </c>
      <c r="L817" s="749"/>
    </row>
    <row r="818" spans="1:12" s="4" customFormat="1" x14ac:dyDescent="0.2">
      <c r="A818" s="1309"/>
      <c r="B818" s="405" t="s">
        <v>1091</v>
      </c>
      <c r="C818" s="78">
        <v>216742479</v>
      </c>
      <c r="D818" s="385">
        <v>2090909.0909090911</v>
      </c>
      <c r="E818" s="172">
        <v>1</v>
      </c>
      <c r="F818" s="521">
        <v>2933.9515999999999</v>
      </c>
      <c r="G818" s="521">
        <v>2989.79108</v>
      </c>
      <c r="H818" s="82">
        <f>G818-F818</f>
        <v>55.839480000000094</v>
      </c>
      <c r="I818" s="81"/>
      <c r="J818" s="81"/>
      <c r="K818" s="465">
        <f>(G818-F818)*D818*E818</f>
        <v>116755276.36363657</v>
      </c>
      <c r="L818" s="749"/>
    </row>
    <row r="819" spans="1:12" s="4" customFormat="1" x14ac:dyDescent="0.2">
      <c r="A819" s="1309"/>
      <c r="B819" s="405" t="s">
        <v>1090</v>
      </c>
      <c r="C819" s="78">
        <v>216742479</v>
      </c>
      <c r="D819" s="385">
        <v>2090909.0909090911</v>
      </c>
      <c r="E819" s="172">
        <v>1</v>
      </c>
      <c r="F819" s="521">
        <v>10.68519</v>
      </c>
      <c r="G819" s="521">
        <v>10.702199999999999</v>
      </c>
      <c r="H819" s="82">
        <f>G819-F819</f>
        <v>1.7009999999999081E-2</v>
      </c>
      <c r="I819" s="81"/>
      <c r="J819" s="81"/>
      <c r="K819" s="198">
        <f>(G819-F819)*D819*E819</f>
        <v>35566.363636361719</v>
      </c>
      <c r="L819" s="749"/>
    </row>
    <row r="820" spans="1:12" s="4" customFormat="1" x14ac:dyDescent="0.2">
      <c r="A820" s="1309"/>
      <c r="B820" s="165" t="s">
        <v>1094</v>
      </c>
      <c r="C820" s="109"/>
      <c r="D820" s="109"/>
      <c r="E820" s="89"/>
      <c r="F820" s="111"/>
      <c r="G820" s="111"/>
      <c r="H820" s="90"/>
      <c r="I820" s="90"/>
      <c r="J820" s="90"/>
      <c r="K820" s="576">
        <f>K818-K819</f>
        <v>116719710.00000021</v>
      </c>
      <c r="L820" s="926">
        <v>9</v>
      </c>
    </row>
    <row r="821" spans="1:12" x14ac:dyDescent="0.2">
      <c r="A821" s="1309"/>
      <c r="B821" s="167" t="s">
        <v>639</v>
      </c>
      <c r="C821" s="78">
        <v>216566641</v>
      </c>
      <c r="D821" s="78">
        <v>2090909.0909090911</v>
      </c>
      <c r="E821" s="79">
        <v>1</v>
      </c>
      <c r="F821" s="521">
        <v>3333.5079000000001</v>
      </c>
      <c r="G821" s="521">
        <v>3350.1654600000002</v>
      </c>
      <c r="H821" s="81">
        <f t="shared" ref="H821:H842" si="75">G821-F821</f>
        <v>16.657560000000103</v>
      </c>
      <c r="I821" s="81"/>
      <c r="J821" s="81"/>
      <c r="K821" s="198">
        <f>(G821-F821)*D821*E821</f>
        <v>34829443.636363856</v>
      </c>
    </row>
    <row r="822" spans="1:12" x14ac:dyDescent="0.2">
      <c r="A822" s="1309"/>
      <c r="B822" s="167" t="s">
        <v>640</v>
      </c>
      <c r="C822" s="78">
        <v>216566641</v>
      </c>
      <c r="D822" s="78">
        <v>2090909.0909090911</v>
      </c>
      <c r="E822" s="79">
        <v>1</v>
      </c>
      <c r="F822" s="521">
        <v>5.82843</v>
      </c>
      <c r="G822" s="521">
        <v>5.9343300000000001</v>
      </c>
      <c r="H822" s="81">
        <f t="shared" si="75"/>
        <v>0.10590000000000011</v>
      </c>
      <c r="I822" s="81"/>
      <c r="J822" s="81"/>
      <c r="K822" s="198">
        <f>(G822-F822)*D822*E822</f>
        <v>221427.27272727297</v>
      </c>
    </row>
    <row r="823" spans="1:12" x14ac:dyDescent="0.2">
      <c r="A823" s="1309"/>
      <c r="B823" s="165" t="s">
        <v>810</v>
      </c>
      <c r="C823" s="109"/>
      <c r="D823" s="109"/>
      <c r="E823" s="89"/>
      <c r="F823" s="111"/>
      <c r="G823" s="111"/>
      <c r="H823" s="90"/>
      <c r="I823" s="90"/>
      <c r="J823" s="90"/>
      <c r="K823" s="576">
        <f>K821-K822</f>
        <v>34608016.363636583</v>
      </c>
      <c r="L823" s="926">
        <v>10</v>
      </c>
    </row>
    <row r="824" spans="1:12" x14ac:dyDescent="0.2">
      <c r="A824" s="1309"/>
      <c r="B824" s="405" t="s">
        <v>1050</v>
      </c>
      <c r="C824" s="401" t="s">
        <v>668</v>
      </c>
      <c r="D824" s="401">
        <v>4181818.1818181821</v>
      </c>
      <c r="E824" s="402">
        <v>1</v>
      </c>
      <c r="F824" s="521">
        <v>4271.9205000000002</v>
      </c>
      <c r="G824" s="521">
        <v>4334.4497000000001</v>
      </c>
      <c r="H824" s="404">
        <f t="shared" si="75"/>
        <v>62.529199999999946</v>
      </c>
      <c r="I824" s="404"/>
      <c r="J824" s="404"/>
      <c r="K824" s="465">
        <f>(G824-F824)*D824*E824</f>
        <v>261485745.45454526</v>
      </c>
    </row>
    <row r="825" spans="1:12" x14ac:dyDescent="0.2">
      <c r="A825" s="1309"/>
      <c r="B825" s="405" t="s">
        <v>1051</v>
      </c>
      <c r="C825" s="401" t="s">
        <v>668</v>
      </c>
      <c r="D825" s="401">
        <v>4181818.1818181821</v>
      </c>
      <c r="E825" s="402">
        <v>1</v>
      </c>
      <c r="F825" s="521">
        <v>3.2644000000000002</v>
      </c>
      <c r="G825" s="521">
        <v>3.2690999999999999</v>
      </c>
      <c r="H825" s="404">
        <f t="shared" si="75"/>
        <v>4.6999999999997044E-3</v>
      </c>
      <c r="I825" s="404"/>
      <c r="J825" s="404"/>
      <c r="K825" s="465">
        <f>(G825-F825)*D825*E825</f>
        <v>19654.545454544219</v>
      </c>
    </row>
    <row r="826" spans="1:12" x14ac:dyDescent="0.2">
      <c r="A826" s="1309"/>
      <c r="B826" s="439" t="s">
        <v>1052</v>
      </c>
      <c r="C826" s="109"/>
      <c r="D826" s="109"/>
      <c r="E826" s="110"/>
      <c r="F826" s="111"/>
      <c r="G826" s="111"/>
      <c r="H826" s="112"/>
      <c r="I826" s="112"/>
      <c r="J826" s="112"/>
      <c r="K826" s="576">
        <f>K824-K825</f>
        <v>261466090.90909073</v>
      </c>
      <c r="L826" s="926">
        <v>11</v>
      </c>
    </row>
    <row r="827" spans="1:12" s="365" customFormat="1" ht="13.5" customHeight="1" x14ac:dyDescent="0.2">
      <c r="A827" s="1309"/>
      <c r="B827" s="433" t="s">
        <v>703</v>
      </c>
      <c r="C827" s="78">
        <v>43168865</v>
      </c>
      <c r="D827" s="78">
        <v>2090909.0909</v>
      </c>
      <c r="E827" s="79">
        <v>1</v>
      </c>
      <c r="F827" s="521">
        <v>157.03092000000001</v>
      </c>
      <c r="G827" s="1001">
        <v>157.03092000000001</v>
      </c>
      <c r="H827" s="81">
        <f>G827-F827</f>
        <v>0</v>
      </c>
      <c r="I827" s="81"/>
      <c r="J827" s="81"/>
      <c r="K827" s="202">
        <f>(G827-F827)*D827*E827</f>
        <v>0</v>
      </c>
      <c r="L827" s="749"/>
    </row>
    <row r="828" spans="1:12" s="365" customFormat="1" ht="13.5" customHeight="1" x14ac:dyDescent="0.2">
      <c r="A828" s="1309"/>
      <c r="B828" s="433" t="s">
        <v>704</v>
      </c>
      <c r="C828" s="78">
        <v>43168865</v>
      </c>
      <c r="D828" s="78">
        <v>2090909.0909090911</v>
      </c>
      <c r="E828" s="79">
        <v>1</v>
      </c>
      <c r="F828" s="521">
        <v>7.2940500000000004</v>
      </c>
      <c r="G828" s="1001">
        <v>7.2940500000000004</v>
      </c>
      <c r="H828" s="81">
        <f>G828-F828</f>
        <v>0</v>
      </c>
      <c r="I828" s="81"/>
      <c r="J828" s="81"/>
      <c r="K828" s="202">
        <f>(G828-F828)*D828*E828</f>
        <v>0</v>
      </c>
      <c r="L828" s="749"/>
    </row>
    <row r="829" spans="1:12" s="365" customFormat="1" ht="13.5" customHeight="1" x14ac:dyDescent="0.2">
      <c r="A829" s="1309"/>
      <c r="B829" s="434" t="s">
        <v>705</v>
      </c>
      <c r="C829" s="109"/>
      <c r="D829" s="109"/>
      <c r="E829" s="110"/>
      <c r="F829" s="111"/>
      <c r="G829" s="111"/>
      <c r="H829" s="112"/>
      <c r="I829" s="112"/>
      <c r="J829" s="112"/>
      <c r="K829" s="576">
        <f>K827-K828</f>
        <v>0</v>
      </c>
      <c r="L829" s="749">
        <v>12</v>
      </c>
    </row>
    <row r="830" spans="1:12" s="365" customFormat="1" ht="13.5" customHeight="1" x14ac:dyDescent="0.2">
      <c r="A830" s="1309"/>
      <c r="B830" s="433" t="s">
        <v>1139</v>
      </c>
      <c r="C830" s="78">
        <v>38980986</v>
      </c>
      <c r="D830" s="78">
        <v>960000</v>
      </c>
      <c r="E830" s="79">
        <v>1</v>
      </c>
      <c r="F830" s="80">
        <v>12.2058</v>
      </c>
      <c r="G830" s="80">
        <v>12.2058</v>
      </c>
      <c r="H830" s="81">
        <f t="shared" ref="H830:H835" si="76">G830-F830</f>
        <v>0</v>
      </c>
      <c r="I830" s="81"/>
      <c r="J830" s="81"/>
      <c r="K830" s="612">
        <f t="shared" ref="K830:K835" si="77">(G830-F830)*D830*E830</f>
        <v>0</v>
      </c>
      <c r="L830" s="749"/>
    </row>
    <row r="831" spans="1:12" s="365" customFormat="1" ht="13.5" customHeight="1" x14ac:dyDescent="0.2">
      <c r="A831" s="1309"/>
      <c r="B831" s="433" t="s">
        <v>1140</v>
      </c>
      <c r="C831" s="78">
        <v>38980988</v>
      </c>
      <c r="D831" s="78">
        <v>960000</v>
      </c>
      <c r="E831" s="79">
        <v>1</v>
      </c>
      <c r="F831" s="80">
        <v>0.30520000000000003</v>
      </c>
      <c r="G831" s="80">
        <v>0.30520000000000003</v>
      </c>
      <c r="H831" s="81">
        <f t="shared" si="76"/>
        <v>0</v>
      </c>
      <c r="I831" s="81"/>
      <c r="J831" s="81"/>
      <c r="K831" s="612">
        <f t="shared" si="77"/>
        <v>0</v>
      </c>
      <c r="L831" s="749"/>
    </row>
    <row r="832" spans="1:12" s="365" customFormat="1" ht="13.5" customHeight="1" x14ac:dyDescent="0.2">
      <c r="A832" s="1309"/>
      <c r="B832" s="433" t="s">
        <v>1141</v>
      </c>
      <c r="C832" s="78">
        <v>38980986</v>
      </c>
      <c r="D832" s="78">
        <v>960000</v>
      </c>
      <c r="E832" s="79">
        <v>1</v>
      </c>
      <c r="F832" s="80">
        <v>12.3512</v>
      </c>
      <c r="G832" s="80">
        <v>12.3512</v>
      </c>
      <c r="H832" s="81">
        <f t="shared" si="76"/>
        <v>0</v>
      </c>
      <c r="I832" s="81"/>
      <c r="J832" s="81"/>
      <c r="K832" s="612">
        <f t="shared" si="77"/>
        <v>0</v>
      </c>
      <c r="L832" s="749"/>
    </row>
    <row r="833" spans="1:14" s="365" customFormat="1" ht="13.5" customHeight="1" x14ac:dyDescent="0.2">
      <c r="A833" s="1309"/>
      <c r="B833" s="433" t="s">
        <v>1142</v>
      </c>
      <c r="C833" s="78">
        <v>38980988</v>
      </c>
      <c r="D833" s="78">
        <v>960000</v>
      </c>
      <c r="E833" s="79">
        <v>1</v>
      </c>
      <c r="F833" s="80">
        <v>0.37819999999999998</v>
      </c>
      <c r="G833" s="80">
        <v>0.37819999999999998</v>
      </c>
      <c r="H833" s="81">
        <f t="shared" si="76"/>
        <v>0</v>
      </c>
      <c r="I833" s="81"/>
      <c r="J833" s="81"/>
      <c r="K833" s="612">
        <f t="shared" si="77"/>
        <v>0</v>
      </c>
      <c r="L833" s="749"/>
    </row>
    <row r="834" spans="1:14" s="365" customFormat="1" ht="13.5" customHeight="1" x14ac:dyDescent="0.2">
      <c r="A834" s="1309"/>
      <c r="B834" s="433" t="s">
        <v>1143</v>
      </c>
      <c r="C834" s="78">
        <v>38980986</v>
      </c>
      <c r="D834" s="78">
        <v>960000</v>
      </c>
      <c r="E834" s="79">
        <v>1</v>
      </c>
      <c r="F834" s="521">
        <v>2240.9791</v>
      </c>
      <c r="G834" s="521">
        <v>2243.5385999999999</v>
      </c>
      <c r="H834" s="81">
        <f t="shared" si="76"/>
        <v>2.5594999999998436</v>
      </c>
      <c r="I834" s="81"/>
      <c r="J834" s="81"/>
      <c r="K834" s="612">
        <f t="shared" si="77"/>
        <v>2457119.9999998501</v>
      </c>
      <c r="L834" s="749"/>
    </row>
    <row r="835" spans="1:14" s="365" customFormat="1" ht="13.5" customHeight="1" x14ac:dyDescent="0.2">
      <c r="A835" s="1309"/>
      <c r="B835" s="433" t="s">
        <v>1144</v>
      </c>
      <c r="C835" s="78">
        <v>38980988</v>
      </c>
      <c r="D835" s="78">
        <v>960000</v>
      </c>
      <c r="E835" s="79">
        <v>1</v>
      </c>
      <c r="F835" s="521">
        <v>5.9359000000000002</v>
      </c>
      <c r="G835" s="521">
        <v>6.1261000000000001</v>
      </c>
      <c r="H835" s="81">
        <f t="shared" si="76"/>
        <v>0.19019999999999992</v>
      </c>
      <c r="I835" s="81"/>
      <c r="J835" s="81"/>
      <c r="K835" s="612">
        <f t="shared" si="77"/>
        <v>182591.99999999994</v>
      </c>
      <c r="L835" s="749"/>
    </row>
    <row r="836" spans="1:14" s="365" customFormat="1" ht="13.5" customHeight="1" x14ac:dyDescent="0.2">
      <c r="A836" s="1309"/>
      <c r="B836" s="613" t="s">
        <v>8</v>
      </c>
      <c r="C836" s="78"/>
      <c r="D836" s="78"/>
      <c r="E836" s="79"/>
      <c r="F836" s="80"/>
      <c r="G836" s="80"/>
      <c r="H836" s="81"/>
      <c r="I836" s="81"/>
      <c r="J836" s="81"/>
      <c r="K836" s="611">
        <f>K830+K832+K834</f>
        <v>2457119.9999998501</v>
      </c>
      <c r="L836" s="749"/>
      <c r="N836" s="1228" t="s">
        <v>1624</v>
      </c>
    </row>
    <row r="837" spans="1:14" s="365" customFormat="1" ht="13.5" customHeight="1" x14ac:dyDescent="0.2">
      <c r="A837" s="1309"/>
      <c r="B837" s="613" t="s">
        <v>1146</v>
      </c>
      <c r="C837" s="78"/>
      <c r="D837" s="78"/>
      <c r="E837" s="79"/>
      <c r="F837" s="80"/>
      <c r="G837" s="80"/>
      <c r="H837" s="81"/>
      <c r="I837" s="81"/>
      <c r="J837" s="81"/>
      <c r="K837" s="611">
        <f>K831+K833+K835</f>
        <v>182591.99999999994</v>
      </c>
      <c r="L837" s="749"/>
    </row>
    <row r="838" spans="1:14" s="365" customFormat="1" ht="13.5" customHeight="1" x14ac:dyDescent="0.2">
      <c r="A838" s="1309"/>
      <c r="B838" s="614" t="s">
        <v>1145</v>
      </c>
      <c r="C838" s="109"/>
      <c r="D838" s="109"/>
      <c r="E838" s="110"/>
      <c r="F838" s="111"/>
      <c r="G838" s="111"/>
      <c r="H838" s="112"/>
      <c r="I838" s="112"/>
      <c r="J838" s="112"/>
      <c r="K838" s="576">
        <f>K836-K837</f>
        <v>2274527.9999998501</v>
      </c>
      <c r="L838" s="749">
        <v>13</v>
      </c>
    </row>
    <row r="839" spans="1:14" s="365" customFormat="1" ht="16.5" customHeight="1" x14ac:dyDescent="0.2">
      <c r="A839" s="1309"/>
      <c r="B839" s="433" t="s">
        <v>673</v>
      </c>
      <c r="C839" s="78">
        <v>38980988</v>
      </c>
      <c r="D839" s="78">
        <v>960000</v>
      </c>
      <c r="E839" s="79">
        <v>1</v>
      </c>
      <c r="F839" s="521">
        <v>2479.9454000000001</v>
      </c>
      <c r="G839" s="521">
        <v>2493.0250000000001</v>
      </c>
      <c r="H839" s="81">
        <f>G839-F839</f>
        <v>13.079600000000028</v>
      </c>
      <c r="I839" s="81"/>
      <c r="J839" s="81"/>
      <c r="K839" s="198">
        <f>(G839-F839)*D839*E839</f>
        <v>12556416.000000026</v>
      </c>
      <c r="L839" s="749"/>
    </row>
    <row r="840" spans="1:14" s="365" customFormat="1" ht="13.5" x14ac:dyDescent="0.2">
      <c r="A840" s="1309"/>
      <c r="B840" s="433" t="s">
        <v>674</v>
      </c>
      <c r="C840" s="78">
        <v>38980988</v>
      </c>
      <c r="D840" s="78">
        <v>960000</v>
      </c>
      <c r="E840" s="79">
        <v>1</v>
      </c>
      <c r="F840" s="521">
        <v>6.4009</v>
      </c>
      <c r="G840" s="521">
        <v>6.5475000000000003</v>
      </c>
      <c r="H840" s="81">
        <f>G840-F840</f>
        <v>0.14660000000000029</v>
      </c>
      <c r="I840" s="81"/>
      <c r="J840" s="81"/>
      <c r="K840" s="198">
        <f>(G840-F840)*D840*E840</f>
        <v>140736.00000000026</v>
      </c>
      <c r="L840" s="749"/>
    </row>
    <row r="841" spans="1:14" s="365" customFormat="1" ht="13.5" customHeight="1" x14ac:dyDescent="0.2">
      <c r="A841" s="1309"/>
      <c r="B841" s="434" t="s">
        <v>675</v>
      </c>
      <c r="C841" s="109"/>
      <c r="D841" s="109"/>
      <c r="E841" s="110"/>
      <c r="F841" s="111"/>
      <c r="G841" s="111"/>
      <c r="H841" s="112"/>
      <c r="I841" s="112"/>
      <c r="J841" s="112"/>
      <c r="K841" s="576">
        <f>K839-K840</f>
        <v>12415680.000000026</v>
      </c>
      <c r="L841" s="749">
        <v>14</v>
      </c>
    </row>
    <row r="842" spans="1:14" s="365" customFormat="1" x14ac:dyDescent="0.2">
      <c r="A842" s="1309"/>
      <c r="B842" s="406" t="s">
        <v>591</v>
      </c>
      <c r="C842" s="400">
        <v>50501068</v>
      </c>
      <c r="D842" s="400">
        <v>1000</v>
      </c>
      <c r="E842" s="772">
        <v>1.0249999999999999</v>
      </c>
      <c r="F842" s="537">
        <v>1054.03</v>
      </c>
      <c r="G842" s="1000">
        <v>1060.9000000000001</v>
      </c>
      <c r="H842" s="407">
        <f t="shared" si="75"/>
        <v>6.8700000000001182</v>
      </c>
      <c r="I842" s="407"/>
      <c r="J842" s="407"/>
      <c r="K842" s="465">
        <f>(G842-F842)*D842*E842</f>
        <v>7041.750000000121</v>
      </c>
      <c r="L842" s="749"/>
    </row>
    <row r="843" spans="1:14" s="365" customFormat="1" x14ac:dyDescent="0.2">
      <c r="A843" s="1309"/>
      <c r="B843" s="171"/>
      <c r="C843" s="78"/>
      <c r="D843" s="78"/>
      <c r="E843" s="79"/>
      <c r="F843" s="80"/>
      <c r="G843" s="80"/>
      <c r="H843" s="81"/>
      <c r="I843" s="81"/>
      <c r="J843" s="81"/>
      <c r="K843" s="773"/>
      <c r="L843" s="749"/>
    </row>
    <row r="844" spans="1:14" s="365" customFormat="1" x14ac:dyDescent="0.2">
      <c r="A844" s="1309"/>
      <c r="B844" s="439" t="s">
        <v>669</v>
      </c>
      <c r="C844" s="109"/>
      <c r="D844" s="109"/>
      <c r="E844" s="110"/>
      <c r="F844" s="111"/>
      <c r="G844" s="111"/>
      <c r="H844" s="112"/>
      <c r="I844" s="112"/>
      <c r="J844" s="112"/>
      <c r="K844" s="576">
        <f>K842-K843</f>
        <v>7041.750000000121</v>
      </c>
      <c r="L844" s="749">
        <v>15</v>
      </c>
    </row>
    <row r="845" spans="1:14" s="365" customFormat="1" ht="13.5" customHeight="1" x14ac:dyDescent="0.2">
      <c r="A845" s="1309"/>
      <c r="B845" s="1002" t="s">
        <v>1215</v>
      </c>
      <c r="C845" s="1003">
        <v>50498575</v>
      </c>
      <c r="D845" s="1003">
        <v>3000</v>
      </c>
      <c r="E845" s="1004">
        <v>1.0249999999999999</v>
      </c>
      <c r="F845" s="1005">
        <v>28.1112</v>
      </c>
      <c r="G845" s="1006">
        <v>28.749199999999998</v>
      </c>
      <c r="H845" s="1007">
        <f>G845-F845</f>
        <v>0.63799999999999812</v>
      </c>
      <c r="I845" s="1007"/>
      <c r="J845" s="1007"/>
      <c r="K845" s="1008">
        <f>(G845-F845)*D845*E845</f>
        <v>1961.849999999994</v>
      </c>
      <c r="L845" s="749"/>
    </row>
    <row r="846" spans="1:14" s="365" customFormat="1" ht="13.5" customHeight="1" x14ac:dyDescent="0.2">
      <c r="A846" s="1309"/>
      <c r="B846" s="1002" t="s">
        <v>1216</v>
      </c>
      <c r="C846" s="1003">
        <v>50498575</v>
      </c>
      <c r="D846" s="1003">
        <v>3000</v>
      </c>
      <c r="E846" s="1004">
        <v>1.0249999999999999</v>
      </c>
      <c r="F846" s="1006">
        <v>51.296999999999997</v>
      </c>
      <c r="G846" s="1006">
        <v>52.037100000000002</v>
      </c>
      <c r="H846" s="1007">
        <f>G846-F846</f>
        <v>0.74010000000000531</v>
      </c>
      <c r="I846" s="1007"/>
      <c r="J846" s="1007"/>
      <c r="K846" s="1008">
        <f>(G846-F846)*D846*E846</f>
        <v>2275.8075000000163</v>
      </c>
      <c r="L846" s="749"/>
    </row>
    <row r="847" spans="1:14" s="365" customFormat="1" ht="13.5" customHeight="1" x14ac:dyDescent="0.2">
      <c r="A847" s="1309"/>
      <c r="B847" s="614" t="s">
        <v>1217</v>
      </c>
      <c r="C847" s="109"/>
      <c r="D847" s="109"/>
      <c r="E847" s="110"/>
      <c r="F847" s="111"/>
      <c r="G847" s="111"/>
      <c r="H847" s="112"/>
      <c r="I847" s="112"/>
      <c r="J847" s="112"/>
      <c r="K847" s="576">
        <f>K845-K846</f>
        <v>-313.95750000002226</v>
      </c>
      <c r="L847" s="749">
        <v>16</v>
      </c>
    </row>
    <row r="848" spans="1:14" s="365" customFormat="1" ht="13.5" customHeight="1" x14ac:dyDescent="0.2">
      <c r="A848" s="1309"/>
      <c r="B848" s="433" t="s">
        <v>1267</v>
      </c>
      <c r="C848" s="78">
        <v>56452974</v>
      </c>
      <c r="D848" s="78">
        <v>60000</v>
      </c>
      <c r="E848" s="79">
        <v>1</v>
      </c>
      <c r="F848" s="521">
        <v>698.99435000000005</v>
      </c>
      <c r="G848" s="521">
        <v>712.16974000000005</v>
      </c>
      <c r="H848" s="81">
        <f>G848-F848</f>
        <v>13.175389999999993</v>
      </c>
      <c r="I848" s="81"/>
      <c r="J848" s="81"/>
      <c r="K848" s="612">
        <f>(G848-F848)*D848*E848</f>
        <v>790523.39999999956</v>
      </c>
      <c r="L848" s="749"/>
    </row>
    <row r="849" spans="1:14" s="365" customFormat="1" ht="13.5" customHeight="1" x14ac:dyDescent="0.2">
      <c r="A849" s="1309"/>
      <c r="B849" s="433" t="s">
        <v>1268</v>
      </c>
      <c r="C849" s="78">
        <v>56452974</v>
      </c>
      <c r="D849" s="78">
        <v>60000</v>
      </c>
      <c r="E849" s="79">
        <v>1</v>
      </c>
      <c r="F849" s="521">
        <v>1.2771600000000001</v>
      </c>
      <c r="G849" s="521">
        <v>1.2837499999999999</v>
      </c>
      <c r="H849" s="81">
        <f>G849-F849</f>
        <v>6.5899999999998737E-3</v>
      </c>
      <c r="I849" s="81"/>
      <c r="J849" s="81"/>
      <c r="K849" s="612">
        <f>(G849-F849)*D849*E849</f>
        <v>395.39999999999242</v>
      </c>
      <c r="L849" s="749"/>
    </row>
    <row r="850" spans="1:14" s="365" customFormat="1" ht="13.5" customHeight="1" x14ac:dyDescent="0.2">
      <c r="A850" s="1309"/>
      <c r="B850" s="614" t="s">
        <v>1269</v>
      </c>
      <c r="C850" s="109"/>
      <c r="D850" s="109"/>
      <c r="E850" s="110"/>
      <c r="F850" s="111"/>
      <c r="G850" s="111"/>
      <c r="H850" s="81"/>
      <c r="I850" s="112"/>
      <c r="J850" s="112"/>
      <c r="K850" s="576">
        <f>K848-K849</f>
        <v>790127.99999999953</v>
      </c>
      <c r="L850" s="749">
        <v>17</v>
      </c>
    </row>
    <row r="851" spans="1:14" s="365" customFormat="1" ht="13.5" customHeight="1" x14ac:dyDescent="0.2">
      <c r="A851" s="1309"/>
      <c r="B851" s="433" t="s">
        <v>1626</v>
      </c>
      <c r="C851" s="78">
        <v>56452974</v>
      </c>
      <c r="D851" s="78">
        <v>480000</v>
      </c>
      <c r="E851" s="79">
        <v>1</v>
      </c>
      <c r="F851" s="553">
        <v>109.0509</v>
      </c>
      <c r="G851" s="553">
        <v>118.32210000000001</v>
      </c>
      <c r="H851" s="81">
        <f t="shared" ref="H851:H857" si="78">G851-F851</f>
        <v>9.2712000000000074</v>
      </c>
      <c r="I851" s="81"/>
      <c r="J851" s="81"/>
      <c r="K851" s="612">
        <f>(G851-F851)*D851*E851</f>
        <v>4450176.0000000037</v>
      </c>
      <c r="L851" s="749"/>
    </row>
    <row r="852" spans="1:14" s="365" customFormat="1" ht="13.5" customHeight="1" x14ac:dyDescent="0.2">
      <c r="A852" s="1309"/>
      <c r="B852" s="433" t="s">
        <v>1629</v>
      </c>
      <c r="C852" s="78">
        <v>56452974</v>
      </c>
      <c r="D852" s="78">
        <v>480000</v>
      </c>
      <c r="E852" s="79">
        <v>1</v>
      </c>
      <c r="F852" s="553">
        <v>0.66220000000000001</v>
      </c>
      <c r="G852" s="553">
        <v>0.71689999999999998</v>
      </c>
      <c r="H852" s="81">
        <f t="shared" si="78"/>
        <v>5.4699999999999971E-2</v>
      </c>
      <c r="I852" s="81"/>
      <c r="J852" s="81"/>
      <c r="K852" s="612">
        <f>(G852-F852)*D852*E852</f>
        <v>26255.999999999985</v>
      </c>
      <c r="L852" s="749"/>
    </row>
    <row r="853" spans="1:14" s="365" customFormat="1" ht="13.5" customHeight="1" x14ac:dyDescent="0.2">
      <c r="A853" s="1309"/>
      <c r="B853" s="433" t="s">
        <v>1628</v>
      </c>
      <c r="C853" s="1229">
        <v>56452974</v>
      </c>
      <c r="D853" s="78">
        <v>480000</v>
      </c>
      <c r="E853" s="79">
        <v>1</v>
      </c>
      <c r="F853" s="553">
        <v>99.283600000000007</v>
      </c>
      <c r="G853" s="553">
        <v>108.4984</v>
      </c>
      <c r="H853" s="81">
        <f t="shared" si="78"/>
        <v>9.2147999999999968</v>
      </c>
      <c r="I853" s="81"/>
      <c r="J853" s="81"/>
      <c r="K853" s="612">
        <f t="shared" ref="K853:K857" si="79">(G853-F853)*D853*E853</f>
        <v>4423103.9999999981</v>
      </c>
      <c r="L853" s="749"/>
    </row>
    <row r="854" spans="1:14" s="365" customFormat="1" ht="13.5" customHeight="1" x14ac:dyDescent="0.2">
      <c r="A854" s="1309"/>
      <c r="B854" s="433" t="s">
        <v>1627</v>
      </c>
      <c r="C854" s="1230">
        <f>C853</f>
        <v>56452974</v>
      </c>
      <c r="D854" s="78">
        <v>480000</v>
      </c>
      <c r="E854" s="79">
        <v>1</v>
      </c>
      <c r="F854" s="553">
        <v>0.63019999999999998</v>
      </c>
      <c r="G854" s="553">
        <v>0.6845</v>
      </c>
      <c r="H854" s="81">
        <f t="shared" si="78"/>
        <v>5.4300000000000015E-2</v>
      </c>
      <c r="I854" s="81"/>
      <c r="J854" s="81"/>
      <c r="K854" s="612">
        <f t="shared" si="79"/>
        <v>26064.000000000007</v>
      </c>
      <c r="L854" s="749"/>
    </row>
    <row r="855" spans="1:14" s="365" customFormat="1" ht="13.5" customHeight="1" x14ac:dyDescent="0.2">
      <c r="A855" s="1309"/>
      <c r="B855" s="614" t="s">
        <v>1614</v>
      </c>
      <c r="C855" s="109"/>
      <c r="D855" s="109"/>
      <c r="E855" s="110"/>
      <c r="F855" s="111"/>
      <c r="G855" s="111"/>
      <c r="H855" s="112"/>
      <c r="I855" s="112"/>
      <c r="J855" s="112"/>
      <c r="K855" s="576">
        <f>K851+K853-K854-K852</f>
        <v>8820960.0000000019</v>
      </c>
      <c r="L855" s="749">
        <v>18</v>
      </c>
    </row>
    <row r="856" spans="1:14" s="365" customFormat="1" ht="13.5" customHeight="1" x14ac:dyDescent="0.2">
      <c r="A856" s="1309"/>
      <c r="B856" s="433" t="s">
        <v>1634</v>
      </c>
      <c r="C856" s="78" t="s">
        <v>1637</v>
      </c>
      <c r="D856" s="78">
        <v>720000</v>
      </c>
      <c r="E856" s="79">
        <v>1</v>
      </c>
      <c r="F856" s="80">
        <v>193.20276999999999</v>
      </c>
      <c r="G856" s="80">
        <v>218.06138999999999</v>
      </c>
      <c r="H856" s="81">
        <f t="shared" si="78"/>
        <v>24.858620000000002</v>
      </c>
      <c r="I856" s="81"/>
      <c r="J856" s="81"/>
      <c r="K856" s="612">
        <f t="shared" si="79"/>
        <v>17898206.400000002</v>
      </c>
      <c r="L856" s="749"/>
    </row>
    <row r="857" spans="1:14" s="365" customFormat="1" ht="13.5" customHeight="1" x14ac:dyDescent="0.2">
      <c r="A857" s="1309"/>
      <c r="B857" s="433" t="s">
        <v>1635</v>
      </c>
      <c r="C857" s="78" t="s">
        <v>1637</v>
      </c>
      <c r="D857" s="78">
        <v>720000</v>
      </c>
      <c r="E857" s="79">
        <v>1</v>
      </c>
      <c r="F857" s="80">
        <v>1.83464</v>
      </c>
      <c r="G857" s="80">
        <v>2.0349499999999998</v>
      </c>
      <c r="H857" s="81">
        <f t="shared" si="78"/>
        <v>0.20030999999999977</v>
      </c>
      <c r="I857" s="81"/>
      <c r="J857" s="81"/>
      <c r="K857" s="612">
        <f t="shared" si="79"/>
        <v>144223.19999999984</v>
      </c>
      <c r="L857" s="749"/>
    </row>
    <row r="858" spans="1:14" s="365" customFormat="1" ht="13.5" customHeight="1" x14ac:dyDescent="0.2">
      <c r="A858" s="1309"/>
      <c r="B858" s="614" t="s">
        <v>1636</v>
      </c>
      <c r="C858" s="109"/>
      <c r="D858" s="109"/>
      <c r="E858" s="110"/>
      <c r="F858" s="111"/>
      <c r="G858" s="111"/>
      <c r="H858" s="112"/>
      <c r="I858" s="112"/>
      <c r="J858" s="112"/>
      <c r="K858" s="576">
        <f>K856-K857</f>
        <v>17753983.200000003</v>
      </c>
      <c r="L858" s="749"/>
    </row>
    <row r="859" spans="1:14" x14ac:dyDescent="0.2">
      <c r="A859" s="1310"/>
      <c r="B859" s="154" t="s">
        <v>223</v>
      </c>
      <c r="C859" s="132"/>
      <c r="D859" s="132"/>
      <c r="E859" s="142"/>
      <c r="F859" s="118"/>
      <c r="G859" s="118"/>
      <c r="H859" s="118"/>
      <c r="I859" s="118"/>
      <c r="J859" s="118"/>
      <c r="K859" s="1239">
        <f>K820+K809+K801+K798+K794+K791+K786+K781+K775+K844+K823+K826+K841+K829+K816+K838+K847+K850+K855+K858</f>
        <v>570470875.90159142</v>
      </c>
      <c r="N859" s="1228" t="s">
        <v>1624</v>
      </c>
    </row>
    <row r="860" spans="1:14" ht="12.75" customHeight="1" x14ac:dyDescent="0.2">
      <c r="A860" s="1308" t="s">
        <v>2</v>
      </c>
      <c r="B860" s="122" t="s">
        <v>1632</v>
      </c>
      <c r="C860" s="144">
        <v>50499014</v>
      </c>
      <c r="D860" s="43">
        <v>1672727.2727000001</v>
      </c>
      <c r="E860" s="44">
        <v>1</v>
      </c>
      <c r="F860" s="81">
        <v>516.50400000000002</v>
      </c>
      <c r="G860" s="81">
        <v>516.50400000000002</v>
      </c>
      <c r="H860" s="46">
        <f>G860-F860</f>
        <v>0</v>
      </c>
      <c r="I860" s="46"/>
      <c r="J860" s="46"/>
      <c r="K860" s="194">
        <f>(G860-F860)*D860*E860</f>
        <v>0</v>
      </c>
    </row>
    <row r="861" spans="1:14" ht="12" customHeight="1" x14ac:dyDescent="0.2">
      <c r="A861" s="1309"/>
      <c r="B861" s="122" t="s">
        <v>1633</v>
      </c>
      <c r="C861" s="144">
        <v>50497901</v>
      </c>
      <c r="D861" s="43">
        <v>1672727.2727000001</v>
      </c>
      <c r="E861" s="44">
        <v>1</v>
      </c>
      <c r="F861" s="81">
        <v>24.617999999999999</v>
      </c>
      <c r="G861" s="81">
        <v>24.617999999999999</v>
      </c>
      <c r="H861" s="46">
        <f>G861-F861</f>
        <v>0</v>
      </c>
      <c r="I861" s="46"/>
      <c r="J861" s="46"/>
      <c r="K861" s="194">
        <f>(G861-F861)*D861*E861</f>
        <v>0</v>
      </c>
    </row>
    <row r="862" spans="1:14" ht="12.75" customHeight="1" x14ac:dyDescent="0.2">
      <c r="A862" s="1309"/>
      <c r="B862" s="122" t="s">
        <v>1539</v>
      </c>
      <c r="C862" s="144">
        <v>59723477</v>
      </c>
      <c r="D862" s="43">
        <v>1672727.2727000001</v>
      </c>
      <c r="E862" s="44">
        <v>1</v>
      </c>
      <c r="F862" s="522">
        <v>287.13200000000001</v>
      </c>
      <c r="G862" s="522">
        <v>307.15600000000001</v>
      </c>
      <c r="H862" s="46">
        <f t="shared" ref="H862:H863" si="80">G862-F862</f>
        <v>20.024000000000001</v>
      </c>
      <c r="I862" s="46"/>
      <c r="J862" s="46"/>
      <c r="K862" s="194">
        <f t="shared" ref="K862:K863" si="81">(G862-F862)*D862*E862</f>
        <v>33494690.908544805</v>
      </c>
    </row>
    <row r="863" spans="1:14" x14ac:dyDescent="0.2">
      <c r="A863" s="1309"/>
      <c r="B863" s="122" t="s">
        <v>1540</v>
      </c>
      <c r="C863" s="144">
        <v>59723479</v>
      </c>
      <c r="D863" s="43">
        <v>1672727.2727000001</v>
      </c>
      <c r="E863" s="44">
        <v>1</v>
      </c>
      <c r="F863" s="522">
        <v>1E-3</v>
      </c>
      <c r="G863" s="522">
        <v>1E-3</v>
      </c>
      <c r="H863" s="46">
        <f t="shared" si="80"/>
        <v>0</v>
      </c>
      <c r="I863" s="46"/>
      <c r="J863" s="46"/>
      <c r="K863" s="194">
        <f t="shared" si="81"/>
        <v>0</v>
      </c>
    </row>
    <row r="864" spans="1:14" x14ac:dyDescent="0.2">
      <c r="A864" s="1309"/>
      <c r="B864" s="59" t="s">
        <v>8</v>
      </c>
      <c r="C864" s="144"/>
      <c r="D864" s="43"/>
      <c r="E864" s="44"/>
      <c r="F864" s="68"/>
      <c r="G864" s="68"/>
      <c r="H864" s="46"/>
      <c r="I864" s="46"/>
      <c r="J864" s="46"/>
      <c r="K864" s="195">
        <f>SUM(K860:K863)</f>
        <v>33494690.908544805</v>
      </c>
    </row>
    <row r="865" spans="1:13" x14ac:dyDescent="0.2">
      <c r="A865" s="1309"/>
      <c r="B865" s="122" t="s">
        <v>1541</v>
      </c>
      <c r="C865" s="144">
        <v>59723480</v>
      </c>
      <c r="D865" s="43">
        <v>1672727.2727000001</v>
      </c>
      <c r="E865" s="44">
        <v>1</v>
      </c>
      <c r="F865" s="540">
        <v>54.402999999999999</v>
      </c>
      <c r="G865" s="540">
        <v>58.627000000000002</v>
      </c>
      <c r="H865" s="46">
        <f>G865-F865</f>
        <v>4.2240000000000038</v>
      </c>
      <c r="I865" s="46"/>
      <c r="J865" s="46"/>
      <c r="K865" s="194">
        <f>(G865-F865)*D865*E865</f>
        <v>7065599.9998848066</v>
      </c>
    </row>
    <row r="866" spans="1:13" x14ac:dyDescent="0.2">
      <c r="A866" s="1309"/>
      <c r="B866" s="122" t="s">
        <v>1541</v>
      </c>
      <c r="C866" s="144">
        <v>50497904</v>
      </c>
      <c r="D866" s="43">
        <v>1672727.2727000001</v>
      </c>
      <c r="E866" s="44">
        <v>1</v>
      </c>
      <c r="F866" s="540">
        <v>57.719000000000001</v>
      </c>
      <c r="G866" s="540">
        <v>57.719000000000001</v>
      </c>
      <c r="H866" s="46">
        <f>G866-F866</f>
        <v>0</v>
      </c>
      <c r="I866" s="46"/>
      <c r="J866" s="46"/>
      <c r="K866" s="194">
        <f>(G866-F866)*D866*E866</f>
        <v>0</v>
      </c>
    </row>
    <row r="867" spans="1:13" x14ac:dyDescent="0.2">
      <c r="A867" s="1309"/>
      <c r="B867" s="174" t="s">
        <v>52</v>
      </c>
      <c r="C867" s="144"/>
      <c r="D867" s="43"/>
      <c r="E867" s="44"/>
      <c r="F867" s="80"/>
      <c r="G867" s="80"/>
      <c r="H867" s="46"/>
      <c r="I867" s="46"/>
      <c r="J867" s="46"/>
      <c r="K867" s="195">
        <f>SUM(K865:K866)</f>
        <v>7065599.9998848066</v>
      </c>
    </row>
    <row r="868" spans="1:13" s="4" customFormat="1" x14ac:dyDescent="0.2">
      <c r="A868" s="1309"/>
      <c r="B868" s="61" t="s">
        <v>224</v>
      </c>
      <c r="C868" s="175"/>
      <c r="D868" s="120"/>
      <c r="E868" s="63"/>
      <c r="F868" s="190"/>
      <c r="G868" s="121"/>
      <c r="H868" s="66"/>
      <c r="I868" s="66"/>
      <c r="J868" s="66"/>
      <c r="K868" s="197">
        <f>K864-K867</f>
        <v>26429090.908659998</v>
      </c>
      <c r="L868" s="896">
        <v>1</v>
      </c>
    </row>
    <row r="869" spans="1:13" x14ac:dyDescent="0.2">
      <c r="A869" s="1309"/>
      <c r="B869" s="157" t="s">
        <v>598</v>
      </c>
      <c r="C869" s="375">
        <v>2519131023</v>
      </c>
      <c r="D869" s="54">
        <v>1</v>
      </c>
      <c r="E869" s="55">
        <v>1</v>
      </c>
      <c r="F869" s="524">
        <v>10203573000</v>
      </c>
      <c r="G869" s="524">
        <v>10323348000</v>
      </c>
      <c r="H869" s="57">
        <f>G869-F869</f>
        <v>119775000</v>
      </c>
      <c r="I869" s="57"/>
      <c r="J869" s="57"/>
      <c r="K869" s="198">
        <f>(G869-F869)*D869*E869</f>
        <v>119775000</v>
      </c>
    </row>
    <row r="870" spans="1:13" x14ac:dyDescent="0.2">
      <c r="A870" s="1309"/>
      <c r="B870" s="157" t="s">
        <v>599</v>
      </c>
      <c r="C870" s="375" t="s">
        <v>600</v>
      </c>
      <c r="D870" s="54">
        <v>1</v>
      </c>
      <c r="E870" s="55">
        <v>1</v>
      </c>
      <c r="F870" s="524">
        <v>58537963</v>
      </c>
      <c r="G870" s="524">
        <v>58816902</v>
      </c>
      <c r="H870" s="57">
        <f>G870-F870</f>
        <v>278939</v>
      </c>
      <c r="I870" s="57"/>
      <c r="J870" s="57"/>
      <c r="K870" s="198">
        <f>(G870-F870)*D870*E870</f>
        <v>278939</v>
      </c>
    </row>
    <row r="871" spans="1:13" x14ac:dyDescent="0.2">
      <c r="A871" s="1309"/>
      <c r="B871" s="61" t="s">
        <v>601</v>
      </c>
      <c r="C871" s="376"/>
      <c r="D871" s="189"/>
      <c r="E871" s="63"/>
      <c r="F871" s="190"/>
      <c r="G871" s="190"/>
      <c r="H871" s="66"/>
      <c r="I871" s="66"/>
      <c r="J871" s="66"/>
      <c r="K871" s="197">
        <f>K869-K870</f>
        <v>119496061</v>
      </c>
      <c r="L871" s="926">
        <v>2</v>
      </c>
      <c r="M871" s="1288" t="s">
        <v>1460</v>
      </c>
    </row>
    <row r="872" spans="1:13" x14ac:dyDescent="0.2">
      <c r="A872" s="1309"/>
      <c r="B872" s="122" t="s">
        <v>295</v>
      </c>
      <c r="C872" s="1335">
        <v>54263523</v>
      </c>
      <c r="D872" s="43">
        <v>72000</v>
      </c>
      <c r="E872" s="44">
        <v>1</v>
      </c>
      <c r="F872" s="927">
        <v>686360</v>
      </c>
      <c r="G872" s="927">
        <v>686386</v>
      </c>
      <c r="H872" s="420">
        <f>G872-F872</f>
        <v>26</v>
      </c>
      <c r="I872" s="420"/>
      <c r="J872" s="420"/>
      <c r="K872" s="1080">
        <v>26000</v>
      </c>
      <c r="M872" s="1289"/>
    </row>
    <row r="873" spans="1:13" x14ac:dyDescent="0.2">
      <c r="A873" s="1309"/>
      <c r="B873" s="122" t="s">
        <v>296</v>
      </c>
      <c r="C873" s="1336"/>
      <c r="D873" s="43">
        <v>72000</v>
      </c>
      <c r="E873" s="44">
        <v>1</v>
      </c>
      <c r="F873" s="928">
        <v>969689</v>
      </c>
      <c r="G873" s="928">
        <v>973084</v>
      </c>
      <c r="H873" s="46">
        <f>G873-F873</f>
        <v>3395</v>
      </c>
      <c r="I873" s="1331" t="s">
        <v>337</v>
      </c>
      <c r="J873" s="1332"/>
      <c r="K873" s="1080">
        <v>23765</v>
      </c>
      <c r="M873" s="1289"/>
    </row>
    <row r="874" spans="1:13" s="4" customFormat="1" x14ac:dyDescent="0.2">
      <c r="A874" s="1309"/>
      <c r="B874" s="61" t="s">
        <v>225</v>
      </c>
      <c r="C874" s="62"/>
      <c r="D874" s="62"/>
      <c r="E874" s="63"/>
      <c r="F874" s="64"/>
      <c r="G874" s="64"/>
      <c r="H874" s="65" t="s">
        <v>1461</v>
      </c>
      <c r="I874" s="66"/>
      <c r="J874" s="66"/>
      <c r="K874" s="430">
        <f>K872-K873</f>
        <v>2235</v>
      </c>
      <c r="L874" s="896">
        <v>3</v>
      </c>
      <c r="M874" s="1289"/>
    </row>
    <row r="875" spans="1:13" x14ac:dyDescent="0.2">
      <c r="A875" s="1309"/>
      <c r="B875" s="173" t="s">
        <v>307</v>
      </c>
      <c r="C875" s="144">
        <v>77411757</v>
      </c>
      <c r="D875" s="43">
        <v>360000</v>
      </c>
      <c r="E875" s="44">
        <v>1</v>
      </c>
      <c r="F875" s="541">
        <v>867939</v>
      </c>
      <c r="G875" s="541">
        <v>867941</v>
      </c>
      <c r="H875" s="46">
        <f>G875-F875</f>
        <v>2</v>
      </c>
      <c r="I875" s="46"/>
      <c r="J875" s="46"/>
      <c r="K875" s="1080">
        <v>2000</v>
      </c>
      <c r="M875" s="1289"/>
    </row>
    <row r="876" spans="1:13" x14ac:dyDescent="0.2">
      <c r="A876" s="1309"/>
      <c r="B876" s="173" t="s">
        <v>297</v>
      </c>
      <c r="C876" s="144">
        <v>77411757</v>
      </c>
      <c r="D876" s="43">
        <v>360000</v>
      </c>
      <c r="E876" s="44">
        <v>1</v>
      </c>
      <c r="F876" s="541">
        <v>775395</v>
      </c>
      <c r="G876" s="541">
        <v>777237</v>
      </c>
      <c r="H876" s="46">
        <f>G876-F876</f>
        <v>1842</v>
      </c>
      <c r="I876" s="46"/>
      <c r="J876" s="46"/>
      <c r="K876" s="1080">
        <v>18420</v>
      </c>
      <c r="M876" s="1289"/>
    </row>
    <row r="877" spans="1:13" s="4" customFormat="1" x14ac:dyDescent="0.2">
      <c r="A877" s="1309"/>
      <c r="B877" s="61" t="s">
        <v>226</v>
      </c>
      <c r="C877" s="62"/>
      <c r="D877" s="62"/>
      <c r="E877" s="63"/>
      <c r="F877" s="64"/>
      <c r="G877" s="64"/>
      <c r="H877" s="65" t="s">
        <v>1461</v>
      </c>
      <c r="I877" s="66"/>
      <c r="J877" s="66"/>
      <c r="K877" s="197">
        <f>K875-K876</f>
        <v>-16420</v>
      </c>
      <c r="L877" s="896">
        <v>4</v>
      </c>
      <c r="M877" s="1289"/>
    </row>
    <row r="878" spans="1:13" ht="13.5" hidden="1" customHeight="1" x14ac:dyDescent="0.2">
      <c r="A878" s="1309"/>
      <c r="B878" s="508" t="s">
        <v>227</v>
      </c>
      <c r="C878" s="506"/>
      <c r="D878" s="509">
        <v>1</v>
      </c>
      <c r="E878" s="410">
        <v>1</v>
      </c>
      <c r="F878" s="507">
        <v>457470766</v>
      </c>
      <c r="G878" s="507">
        <v>457470766</v>
      </c>
      <c r="H878" s="412">
        <f>G878-F878</f>
        <v>0</v>
      </c>
      <c r="I878" s="412">
        <v>184782597</v>
      </c>
      <c r="J878" s="412">
        <v>184782597</v>
      </c>
      <c r="K878" s="413">
        <f>(G878-F878)*D878*E878</f>
        <v>0</v>
      </c>
    </row>
    <row r="879" spans="1:13" ht="11.25" hidden="1" customHeight="1" x14ac:dyDescent="0.2">
      <c r="A879" s="1309"/>
      <c r="B879" s="508" t="s">
        <v>228</v>
      </c>
      <c r="C879" s="506"/>
      <c r="D879" s="509">
        <v>1</v>
      </c>
      <c r="E879" s="410">
        <v>1</v>
      </c>
      <c r="F879" s="412">
        <v>2449991.7000000002</v>
      </c>
      <c r="G879" s="412">
        <v>2449991.7000000002</v>
      </c>
      <c r="H879" s="412">
        <f>G879-F879</f>
        <v>0</v>
      </c>
      <c r="I879" s="412">
        <v>2621824</v>
      </c>
      <c r="J879" s="412">
        <v>2621824</v>
      </c>
      <c r="K879" s="413">
        <v>0</v>
      </c>
    </row>
    <row r="880" spans="1:13" s="4" customFormat="1" ht="18" hidden="1" customHeight="1" x14ac:dyDescent="0.2">
      <c r="A880" s="1309"/>
      <c r="B880" s="176" t="s">
        <v>229</v>
      </c>
      <c r="C880" s="62"/>
      <c r="D880" s="62"/>
      <c r="E880" s="63"/>
      <c r="F880" s="64"/>
      <c r="G880" s="64"/>
      <c r="H880" s="112"/>
      <c r="I880" s="66"/>
      <c r="J880" s="66"/>
      <c r="K880" s="197">
        <f>K878-K879</f>
        <v>0</v>
      </c>
      <c r="L880" s="896"/>
    </row>
    <row r="881" spans="1:12" s="483" customFormat="1" x14ac:dyDescent="0.2">
      <c r="A881" s="1309"/>
      <c r="B881" s="505" t="s">
        <v>739</v>
      </c>
      <c r="C881" s="1319">
        <v>42334955</v>
      </c>
      <c r="D881" s="401">
        <v>960000</v>
      </c>
      <c r="E881" s="402">
        <v>1</v>
      </c>
      <c r="F881" s="521">
        <v>2471.12021</v>
      </c>
      <c r="G881" s="521">
        <v>2513.4084600000001</v>
      </c>
      <c r="H881" s="87">
        <f>G881-F881</f>
        <v>42.288250000000062</v>
      </c>
      <c r="I881" s="424"/>
      <c r="J881" s="424"/>
      <c r="K881" s="198">
        <f>H881*E881*D881</f>
        <v>40596720.00000006</v>
      </c>
      <c r="L881" s="899"/>
    </row>
    <row r="882" spans="1:12" s="4" customFormat="1" x14ac:dyDescent="0.2">
      <c r="A882" s="1309"/>
      <c r="B882" s="505" t="s">
        <v>740</v>
      </c>
      <c r="C882" s="1320"/>
      <c r="D882" s="401">
        <v>960000</v>
      </c>
      <c r="E882" s="402">
        <v>1</v>
      </c>
      <c r="F882" s="521">
        <v>9.7609100000000009</v>
      </c>
      <c r="G882" s="521">
        <v>9.8825299999999991</v>
      </c>
      <c r="H882" s="87">
        <f>G882-F882</f>
        <v>0.12161999999999829</v>
      </c>
      <c r="I882" s="424"/>
      <c r="J882" s="424"/>
      <c r="K882" s="198">
        <f>H882*E882*D882</f>
        <v>116755.19999999835</v>
      </c>
      <c r="L882" s="749"/>
    </row>
    <row r="883" spans="1:12" x14ac:dyDescent="0.2">
      <c r="A883" s="1309"/>
      <c r="B883" s="61" t="s">
        <v>741</v>
      </c>
      <c r="C883" s="62"/>
      <c r="D883" s="62"/>
      <c r="E883" s="63"/>
      <c r="F883" s="64"/>
      <c r="G883" s="64"/>
      <c r="H883" s="64"/>
      <c r="I883" s="66"/>
      <c r="J883" s="66"/>
      <c r="K883" s="197">
        <f>K881-K882</f>
        <v>40479964.800000064</v>
      </c>
      <c r="L883" s="926">
        <v>5</v>
      </c>
    </row>
    <row r="884" spans="1:12" x14ac:dyDescent="0.2">
      <c r="A884" s="1309"/>
      <c r="B884" s="157" t="s">
        <v>1655</v>
      </c>
      <c r="C884" s="1299" t="s">
        <v>1657</v>
      </c>
      <c r="D884" s="78">
        <v>1920000</v>
      </c>
      <c r="E884" s="79">
        <v>1</v>
      </c>
      <c r="F884" s="80">
        <v>8.9800000000000005E-2</v>
      </c>
      <c r="G884" s="80">
        <v>8.9800000000000005E-2</v>
      </c>
      <c r="H884" s="87">
        <f t="shared" ref="H884:H885" si="82">G884-F884</f>
        <v>0</v>
      </c>
      <c r="I884" s="57"/>
      <c r="J884" s="57"/>
      <c r="K884" s="198">
        <f>H884*E884*D884</f>
        <v>0</v>
      </c>
    </row>
    <row r="885" spans="1:12" x14ac:dyDescent="0.2">
      <c r="A885" s="1309"/>
      <c r="B885" s="157" t="s">
        <v>1656</v>
      </c>
      <c r="C885" s="1300"/>
      <c r="D885" s="78">
        <v>1920000</v>
      </c>
      <c r="E885" s="79">
        <v>1</v>
      </c>
      <c r="F885" s="80">
        <v>0.29820000000000002</v>
      </c>
      <c r="G885" s="80">
        <v>0.36380000000000001</v>
      </c>
      <c r="H885" s="87">
        <f t="shared" si="82"/>
        <v>6.5599999999999992E-2</v>
      </c>
      <c r="I885" s="57"/>
      <c r="J885" s="57"/>
      <c r="K885" s="198">
        <f>H885*E885*D885</f>
        <v>125951.99999999999</v>
      </c>
    </row>
    <row r="886" spans="1:12" x14ac:dyDescent="0.2">
      <c r="A886" s="1309"/>
      <c r="B886" s="61" t="s">
        <v>1658</v>
      </c>
      <c r="C886" s="987"/>
      <c r="D886" s="62"/>
      <c r="E886" s="63"/>
      <c r="F886" s="64"/>
      <c r="G886" s="64"/>
      <c r="H886" s="65"/>
      <c r="I886" s="66"/>
      <c r="J886" s="66"/>
      <c r="K886" s="197">
        <f>K884-K885</f>
        <v>-125951.99999999999</v>
      </c>
      <c r="L886" s="926"/>
    </row>
    <row r="887" spans="1:12" s="4" customFormat="1" x14ac:dyDescent="0.2">
      <c r="A887" s="1309"/>
      <c r="B887" s="505" t="s">
        <v>817</v>
      </c>
      <c r="C887" s="1319">
        <v>53523397</v>
      </c>
      <c r="D887" s="401">
        <v>12000</v>
      </c>
      <c r="E887" s="402">
        <v>1</v>
      </c>
      <c r="F887" s="521">
        <v>6025.0789000000004</v>
      </c>
      <c r="G887" s="521">
        <v>6133.84998</v>
      </c>
      <c r="H887" s="404">
        <f>G887-F887</f>
        <v>108.77107999999953</v>
      </c>
      <c r="I887" s="424"/>
      <c r="J887" s="424"/>
      <c r="K887" s="198">
        <f>(G887-F887)*D887*E887</f>
        <v>1305252.9599999944</v>
      </c>
      <c r="L887" s="749"/>
    </row>
    <row r="888" spans="1:12" s="4" customFormat="1" x14ac:dyDescent="0.2">
      <c r="A888" s="1309"/>
      <c r="B888" s="505" t="s">
        <v>818</v>
      </c>
      <c r="C888" s="1320"/>
      <c r="D888" s="401">
        <v>12000</v>
      </c>
      <c r="E888" s="402">
        <v>1</v>
      </c>
      <c r="F888" s="553">
        <v>26.024139999999999</v>
      </c>
      <c r="G888" s="553">
        <v>26.324539999999999</v>
      </c>
      <c r="H888" s="404">
        <f>G888-F888</f>
        <v>0.30039999999999978</v>
      </c>
      <c r="I888" s="424"/>
      <c r="J888" s="424"/>
      <c r="K888" s="198">
        <f>(G888-F888)*D888*E888</f>
        <v>3604.7999999999975</v>
      </c>
      <c r="L888" s="749"/>
    </row>
    <row r="889" spans="1:12" s="4" customFormat="1" x14ac:dyDescent="0.2">
      <c r="A889" s="1309"/>
      <c r="B889" s="176" t="s">
        <v>819</v>
      </c>
      <c r="C889" s="62"/>
      <c r="D889" s="62"/>
      <c r="E889" s="63"/>
      <c r="F889" s="64"/>
      <c r="G889" s="64"/>
      <c r="H889" s="112"/>
      <c r="I889" s="66"/>
      <c r="J889" s="66"/>
      <c r="K889" s="430">
        <f>K887-K888</f>
        <v>1301648.1599999943</v>
      </c>
      <c r="L889" s="896">
        <v>6</v>
      </c>
    </row>
    <row r="890" spans="1:12" x14ac:dyDescent="0.2">
      <c r="A890" s="1309"/>
      <c r="B890" s="157" t="s">
        <v>1296</v>
      </c>
      <c r="C890" s="1299" t="s">
        <v>1298</v>
      </c>
      <c r="D890" s="78">
        <v>192000</v>
      </c>
      <c r="E890" s="79">
        <v>1</v>
      </c>
      <c r="F890" s="521">
        <v>5851.2293149999996</v>
      </c>
      <c r="G890" s="521">
        <v>6077.9139999999998</v>
      </c>
      <c r="H890" s="81">
        <f>G890-F890</f>
        <v>226.68468500000017</v>
      </c>
      <c r="I890" s="57"/>
      <c r="J890" s="57"/>
      <c r="K890" s="198">
        <f>H890*E890*D890</f>
        <v>43523459.520000033</v>
      </c>
    </row>
    <row r="891" spans="1:12" x14ac:dyDescent="0.2">
      <c r="A891" s="1309"/>
      <c r="B891" s="157" t="s">
        <v>1297</v>
      </c>
      <c r="C891" s="1300"/>
      <c r="D891" s="78">
        <v>192000</v>
      </c>
      <c r="E891" s="79">
        <v>1</v>
      </c>
      <c r="F891" s="521">
        <v>24.616778409999998</v>
      </c>
      <c r="G891" s="521">
        <v>24.859000000000002</v>
      </c>
      <c r="H891" s="81">
        <f>G891-F891</f>
        <v>0.24222159000000332</v>
      </c>
      <c r="I891" s="57"/>
      <c r="J891" s="57"/>
      <c r="K891" s="198">
        <f>H891*E891*D891</f>
        <v>46506.545280000639</v>
      </c>
    </row>
    <row r="892" spans="1:12" x14ac:dyDescent="0.2">
      <c r="A892" s="1309"/>
      <c r="B892" s="61" t="s">
        <v>1579</v>
      </c>
      <c r="C892" s="62"/>
      <c r="D892" s="62"/>
      <c r="E892" s="63"/>
      <c r="F892" s="64"/>
      <c r="G892" s="64"/>
      <c r="H892" s="65"/>
      <c r="I892" s="66"/>
      <c r="J892" s="66"/>
      <c r="K892" s="197">
        <f>K890-K891</f>
        <v>43476952.974720031</v>
      </c>
      <c r="L892" s="926">
        <v>7</v>
      </c>
    </row>
    <row r="893" spans="1:12" x14ac:dyDescent="0.2">
      <c r="A893" s="1309"/>
      <c r="B893" s="157" t="s">
        <v>1454</v>
      </c>
      <c r="C893" s="1299">
        <v>60405612</v>
      </c>
      <c r="D893" s="1299">
        <v>720000</v>
      </c>
      <c r="E893" s="1341">
        <v>1</v>
      </c>
      <c r="F893" s="521">
        <v>15.40301</v>
      </c>
      <c r="G893" s="521">
        <v>15.499840000000001</v>
      </c>
      <c r="H893" s="81">
        <f>G893-F893</f>
        <v>9.6830000000000638E-2</v>
      </c>
      <c r="I893" s="57"/>
      <c r="J893" s="57"/>
      <c r="K893" s="198">
        <f>H893*E893*D893</f>
        <v>69717.600000000457</v>
      </c>
    </row>
    <row r="894" spans="1:12" x14ac:dyDescent="0.2">
      <c r="A894" s="1309"/>
      <c r="B894" s="157" t="s">
        <v>1455</v>
      </c>
      <c r="C894" s="1300"/>
      <c r="D894" s="1300"/>
      <c r="E894" s="1342"/>
      <c r="F894" s="521">
        <v>735.43087000000003</v>
      </c>
      <c r="G894" s="521">
        <v>758.56350999999995</v>
      </c>
      <c r="H894" s="81">
        <f t="shared" ref="H894:H896" si="83">G894-F894</f>
        <v>23.132639999999924</v>
      </c>
      <c r="I894" s="57"/>
      <c r="J894" s="57"/>
      <c r="K894" s="198">
        <f>H894*E893*D893</f>
        <v>16655500.799999945</v>
      </c>
    </row>
    <row r="895" spans="1:12" x14ac:dyDescent="0.2">
      <c r="A895" s="1309"/>
      <c r="B895" s="157" t="s">
        <v>1456</v>
      </c>
      <c r="C895" s="1299">
        <v>60405613</v>
      </c>
      <c r="D895" s="1299">
        <v>720000</v>
      </c>
      <c r="E895" s="1341">
        <v>1</v>
      </c>
      <c r="F895" s="521">
        <v>27.121490000000001</v>
      </c>
      <c r="G895" s="521">
        <v>27.221620000000001</v>
      </c>
      <c r="H895" s="81">
        <f t="shared" si="83"/>
        <v>0.10013000000000005</v>
      </c>
      <c r="I895" s="57"/>
      <c r="J895" s="57"/>
      <c r="K895" s="198">
        <f>H895*E895*D895</f>
        <v>72093.600000000035</v>
      </c>
    </row>
    <row r="896" spans="1:12" x14ac:dyDescent="0.2">
      <c r="A896" s="1309"/>
      <c r="B896" s="157" t="s">
        <v>1457</v>
      </c>
      <c r="C896" s="1300"/>
      <c r="D896" s="1300"/>
      <c r="E896" s="1342"/>
      <c r="F896" s="521">
        <v>881.72207000000003</v>
      </c>
      <c r="G896" s="521">
        <v>906.52254000000005</v>
      </c>
      <c r="H896" s="81">
        <f t="shared" si="83"/>
        <v>24.800470000000018</v>
      </c>
      <c r="I896" s="57"/>
      <c r="J896" s="57"/>
      <c r="K896" s="198">
        <f>H896*E895*D895</f>
        <v>17856338.400000013</v>
      </c>
    </row>
    <row r="897" spans="1:14" x14ac:dyDescent="0.2">
      <c r="A897" s="1309"/>
      <c r="B897" s="61" t="s">
        <v>1458</v>
      </c>
      <c r="C897" s="987"/>
      <c r="D897" s="62"/>
      <c r="E897" s="63"/>
      <c r="F897" s="64"/>
      <c r="G897" s="64"/>
      <c r="H897" s="65"/>
      <c r="I897" s="66"/>
      <c r="J897" s="66"/>
      <c r="K897" s="197">
        <f>K894+K896-K893-K895</f>
        <v>34370027.999999955</v>
      </c>
      <c r="L897" s="926">
        <v>8</v>
      </c>
    </row>
    <row r="898" spans="1:14" ht="12.75" customHeight="1" x14ac:dyDescent="0.2">
      <c r="A898" s="1309"/>
      <c r="B898" s="157" t="s">
        <v>1403</v>
      </c>
      <c r="C898" s="1299">
        <v>59081168</v>
      </c>
      <c r="D898" s="78">
        <v>270000</v>
      </c>
      <c r="E898" s="79">
        <v>1</v>
      </c>
      <c r="F898" s="521">
        <v>637.37612999999999</v>
      </c>
      <c r="G898" s="521">
        <v>657.78422999999998</v>
      </c>
      <c r="H898" s="81">
        <f>G898-F898</f>
        <v>20.40809999999999</v>
      </c>
      <c r="I898" s="57"/>
      <c r="J898" s="57"/>
      <c r="K898" s="198">
        <f>H898*E898*D898</f>
        <v>5510186.9999999972</v>
      </c>
    </row>
    <row r="899" spans="1:14" ht="12.75" customHeight="1" x14ac:dyDescent="0.2">
      <c r="A899" s="1309"/>
      <c r="B899" s="157" t="s">
        <v>1404</v>
      </c>
      <c r="C899" s="1300"/>
      <c r="D899" s="78">
        <v>270000</v>
      </c>
      <c r="E899" s="79">
        <v>1</v>
      </c>
      <c r="F899" s="521">
        <v>4.00373</v>
      </c>
      <c r="G899" s="521">
        <v>4.0929200000000003</v>
      </c>
      <c r="H899" s="81">
        <f>G899-F899</f>
        <v>8.9190000000000325E-2</v>
      </c>
      <c r="I899" s="57"/>
      <c r="J899" s="57"/>
      <c r="K899" s="198">
        <f>H899*E899*D899</f>
        <v>24081.300000000087</v>
      </c>
      <c r="N899" s="365" t="s">
        <v>1329</v>
      </c>
    </row>
    <row r="900" spans="1:14" x14ac:dyDescent="0.2">
      <c r="A900" s="1309"/>
      <c r="B900" s="61"/>
      <c r="C900" s="62"/>
      <c r="D900" s="62"/>
      <c r="E900" s="63"/>
      <c r="F900" s="64"/>
      <c r="G900" s="64"/>
      <c r="H900" s="65"/>
      <c r="I900" s="66"/>
      <c r="J900" s="66"/>
      <c r="K900" s="197">
        <f>K898-K899</f>
        <v>5486105.6999999974</v>
      </c>
      <c r="L900" s="926">
        <v>9</v>
      </c>
    </row>
    <row r="901" spans="1:14" x14ac:dyDescent="0.2">
      <c r="A901" s="1310"/>
      <c r="B901" s="154" t="s">
        <v>230</v>
      </c>
      <c r="C901" s="114"/>
      <c r="D901" s="114"/>
      <c r="E901" s="115"/>
      <c r="F901" s="116"/>
      <c r="G901" s="116"/>
      <c r="H901" s="117"/>
      <c r="I901" s="118"/>
      <c r="J901" s="118"/>
      <c r="K901" s="1239">
        <f>K880+K877+K874+K868+K871+K883+K889+K892+K900+K897+K886</f>
        <v>270899714.54338002</v>
      </c>
      <c r="N901" s="365" t="s">
        <v>1624</v>
      </c>
    </row>
    <row r="902" spans="1:14" ht="12.75" hidden="1" customHeight="1" x14ac:dyDescent="0.2">
      <c r="A902" s="691" t="s">
        <v>340</v>
      </c>
      <c r="B902" s="484" t="s">
        <v>231</v>
      </c>
      <c r="C902" s="485">
        <v>363444</v>
      </c>
      <c r="D902" s="485">
        <v>1000</v>
      </c>
      <c r="E902" s="486">
        <v>1</v>
      </c>
      <c r="F902" s="411">
        <v>3.1190099999999998</v>
      </c>
      <c r="G902" s="411">
        <v>3.1190099999999998</v>
      </c>
      <c r="H902" s="487">
        <f t="shared" ref="H902:H911" si="84">G902-F902</f>
        <v>0</v>
      </c>
      <c r="I902" s="487"/>
      <c r="J902" s="487"/>
      <c r="K902" s="488">
        <f>(G902-F902)*D902*E902</f>
        <v>0</v>
      </c>
    </row>
    <row r="903" spans="1:14" ht="12.75" hidden="1" customHeight="1" x14ac:dyDescent="0.2">
      <c r="A903" s="691"/>
      <c r="B903" s="484" t="s">
        <v>232</v>
      </c>
      <c r="C903" s="485">
        <v>363444</v>
      </c>
      <c r="D903" s="485">
        <v>1000</v>
      </c>
      <c r="E903" s="486">
        <v>1</v>
      </c>
      <c r="F903" s="411"/>
      <c r="G903" s="411"/>
      <c r="H903" s="487">
        <f t="shared" si="84"/>
        <v>0</v>
      </c>
      <c r="I903" s="487"/>
      <c r="J903" s="487"/>
      <c r="K903" s="488">
        <f>(G903-F903)*D903*E903</f>
        <v>0</v>
      </c>
    </row>
    <row r="904" spans="1:14" s="4" customFormat="1" ht="12.75" hidden="1" customHeight="1" x14ac:dyDescent="0.2">
      <c r="A904" s="691"/>
      <c r="B904" s="61" t="s">
        <v>233</v>
      </c>
      <c r="C904" s="62"/>
      <c r="D904" s="62"/>
      <c r="E904" s="63"/>
      <c r="F904" s="64"/>
      <c r="G904" s="64"/>
      <c r="H904" s="65"/>
      <c r="I904" s="66"/>
      <c r="J904" s="66"/>
      <c r="K904" s="204">
        <f>K902-K903</f>
        <v>0</v>
      </c>
      <c r="L904" s="896"/>
    </row>
    <row r="905" spans="1:14" ht="12.75" customHeight="1" x14ac:dyDescent="0.2">
      <c r="A905" s="1350" t="s">
        <v>1235</v>
      </c>
      <c r="B905" s="887" t="s">
        <v>234</v>
      </c>
      <c r="C905" s="845">
        <v>412557</v>
      </c>
      <c r="D905" s="845">
        <v>1000</v>
      </c>
      <c r="E905" s="846">
        <v>1</v>
      </c>
      <c r="F905" s="847">
        <v>337673.04</v>
      </c>
      <c r="G905" s="847">
        <v>337673.04</v>
      </c>
      <c r="H905" s="848">
        <f t="shared" si="84"/>
        <v>0</v>
      </c>
      <c r="I905" s="848"/>
      <c r="J905" s="848"/>
      <c r="K905" s="849">
        <f>(G905-F905)*D905*E905</f>
        <v>0</v>
      </c>
    </row>
    <row r="906" spans="1:14" x14ac:dyDescent="0.2">
      <c r="A906" s="1295"/>
      <c r="B906" s="887" t="s">
        <v>235</v>
      </c>
      <c r="C906" s="845">
        <v>412558</v>
      </c>
      <c r="D906" s="845">
        <v>1000</v>
      </c>
      <c r="E906" s="846">
        <v>1</v>
      </c>
      <c r="F906" s="847">
        <v>319098.5</v>
      </c>
      <c r="G906" s="847">
        <v>319098.5</v>
      </c>
      <c r="H906" s="848">
        <f t="shared" si="84"/>
        <v>0</v>
      </c>
      <c r="I906" s="848"/>
      <c r="J906" s="848"/>
      <c r="K906" s="849">
        <f>(G906-F906)*D906*E906</f>
        <v>0</v>
      </c>
    </row>
    <row r="907" spans="1:14" x14ac:dyDescent="0.2">
      <c r="A907" s="1295"/>
      <c r="B907" s="887" t="s">
        <v>236</v>
      </c>
      <c r="C907" s="845">
        <v>412559</v>
      </c>
      <c r="D907" s="845">
        <v>1000</v>
      </c>
      <c r="E907" s="846">
        <v>1</v>
      </c>
      <c r="F907" s="847">
        <v>328605.56</v>
      </c>
      <c r="G907" s="847">
        <v>328605.56</v>
      </c>
      <c r="H907" s="848">
        <f t="shared" si="84"/>
        <v>0</v>
      </c>
      <c r="I907" s="848"/>
      <c r="J907" s="848"/>
      <c r="K907" s="849">
        <f>(G907-F907)*D907*E907</f>
        <v>0</v>
      </c>
    </row>
    <row r="908" spans="1:14" x14ac:dyDescent="0.2">
      <c r="A908" s="1295"/>
      <c r="B908" s="858" t="s">
        <v>8</v>
      </c>
      <c r="C908" s="851"/>
      <c r="D908" s="851"/>
      <c r="E908" s="846"/>
      <c r="F908" s="852"/>
      <c r="G908" s="852"/>
      <c r="H908" s="848"/>
      <c r="I908" s="848"/>
      <c r="J908" s="848"/>
      <c r="K908" s="853">
        <f>K905+K906+K907</f>
        <v>0</v>
      </c>
    </row>
    <row r="909" spans="1:14" x14ac:dyDescent="0.2">
      <c r="A909" s="1295"/>
      <c r="B909" s="887" t="s">
        <v>237</v>
      </c>
      <c r="C909" s="845">
        <v>412557</v>
      </c>
      <c r="D909" s="845">
        <v>1000</v>
      </c>
      <c r="E909" s="846">
        <v>1</v>
      </c>
      <c r="F909" s="847">
        <v>582.15</v>
      </c>
      <c r="G909" s="847">
        <v>582.15</v>
      </c>
      <c r="H909" s="848">
        <f t="shared" si="84"/>
        <v>0</v>
      </c>
      <c r="I909" s="848"/>
      <c r="J909" s="848"/>
      <c r="K909" s="849">
        <f>(G909-F909)*D909*E909</f>
        <v>0</v>
      </c>
    </row>
    <row r="910" spans="1:14" x14ac:dyDescent="0.2">
      <c r="A910" s="1295"/>
      <c r="B910" s="887" t="s">
        <v>238</v>
      </c>
      <c r="C910" s="845">
        <v>412558</v>
      </c>
      <c r="D910" s="845">
        <v>1000</v>
      </c>
      <c r="E910" s="846">
        <v>1</v>
      </c>
      <c r="F910" s="847">
        <v>1676.37</v>
      </c>
      <c r="G910" s="847">
        <v>1676.37</v>
      </c>
      <c r="H910" s="848">
        <f t="shared" si="84"/>
        <v>0</v>
      </c>
      <c r="I910" s="848"/>
      <c r="J910" s="848"/>
      <c r="K910" s="849">
        <f>(G910-F910)*D910*E910</f>
        <v>0</v>
      </c>
    </row>
    <row r="911" spans="1:14" x14ac:dyDescent="0.2">
      <c r="A911" s="1295"/>
      <c r="B911" s="887" t="s">
        <v>239</v>
      </c>
      <c r="C911" s="845">
        <v>412559</v>
      </c>
      <c r="D911" s="845">
        <v>1000</v>
      </c>
      <c r="E911" s="846">
        <v>1</v>
      </c>
      <c r="F911" s="847">
        <v>2055.89</v>
      </c>
      <c r="G911" s="847">
        <v>2055.89</v>
      </c>
      <c r="H911" s="848">
        <f t="shared" si="84"/>
        <v>0</v>
      </c>
      <c r="I911" s="848"/>
      <c r="J911" s="848"/>
      <c r="K911" s="849">
        <f>(G911-F911)*D911*E911</f>
        <v>0</v>
      </c>
    </row>
    <row r="912" spans="1:14" x14ac:dyDescent="0.2">
      <c r="A912" s="1295"/>
      <c r="B912" s="860" t="s">
        <v>52</v>
      </c>
      <c r="C912" s="851"/>
      <c r="D912" s="851"/>
      <c r="E912" s="846"/>
      <c r="F912" s="852"/>
      <c r="G912" s="852"/>
      <c r="H912" s="861"/>
      <c r="I912" s="848"/>
      <c r="J912" s="848"/>
      <c r="K912" s="853">
        <f>K909+K910+K911</f>
        <v>0</v>
      </c>
    </row>
    <row r="913" spans="1:12" s="4" customFormat="1" x14ac:dyDescent="0.2">
      <c r="A913" s="1295"/>
      <c r="B913" s="61" t="s">
        <v>240</v>
      </c>
      <c r="C913" s="62"/>
      <c r="D913" s="62"/>
      <c r="E913" s="63"/>
      <c r="F913" s="64"/>
      <c r="G913" s="64"/>
      <c r="H913" s="65"/>
      <c r="I913" s="66"/>
      <c r="J913" s="66"/>
      <c r="K913" s="197">
        <f>K908-K912</f>
        <v>0</v>
      </c>
      <c r="L913" s="896"/>
    </row>
    <row r="914" spans="1:12" ht="27.75" customHeight="1" x14ac:dyDescent="0.2">
      <c r="A914" s="1295"/>
      <c r="B914" s="122" t="s">
        <v>563</v>
      </c>
      <c r="C914" s="510" t="s">
        <v>383</v>
      </c>
      <c r="D914" s="85">
        <v>480000</v>
      </c>
      <c r="E914" s="86">
        <v>1</v>
      </c>
      <c r="F914" s="52">
        <v>1757.7425499999999</v>
      </c>
      <c r="G914" s="52">
        <v>1757.7425499999999</v>
      </c>
      <c r="H914" s="87">
        <f>G914-F914</f>
        <v>0</v>
      </c>
      <c r="I914" s="87"/>
      <c r="J914" s="87"/>
      <c r="K914" s="200">
        <f>(G914-F914)*D914*E914</f>
        <v>0</v>
      </c>
    </row>
    <row r="915" spans="1:12" ht="22.5" x14ac:dyDescent="0.2">
      <c r="A915" s="1295"/>
      <c r="B915" s="122" t="s">
        <v>564</v>
      </c>
      <c r="C915" s="510" t="s">
        <v>384</v>
      </c>
      <c r="D915" s="85">
        <v>480000</v>
      </c>
      <c r="E915" s="86">
        <v>1</v>
      </c>
      <c r="F915" s="52">
        <v>1882.3416500000001</v>
      </c>
      <c r="G915" s="52">
        <v>1882.3416500000001</v>
      </c>
      <c r="H915" s="87">
        <f>G915-F915</f>
        <v>0</v>
      </c>
      <c r="I915" s="87"/>
      <c r="J915" s="87"/>
      <c r="K915" s="200">
        <f>(G915-F915)*D915*E915</f>
        <v>0</v>
      </c>
    </row>
    <row r="916" spans="1:12" x14ac:dyDescent="0.2">
      <c r="A916" s="1295"/>
      <c r="B916" s="174" t="s">
        <v>8</v>
      </c>
      <c r="C916" s="85"/>
      <c r="D916" s="85"/>
      <c r="E916" s="86"/>
      <c r="F916" s="52"/>
      <c r="G916" s="52"/>
      <c r="H916" s="87"/>
      <c r="I916" s="87"/>
      <c r="J916" s="87"/>
      <c r="K916" s="195">
        <f>K914+K915</f>
        <v>0</v>
      </c>
    </row>
    <row r="917" spans="1:12" ht="22.5" x14ac:dyDescent="0.2">
      <c r="A917" s="1295"/>
      <c r="B917" s="122" t="s">
        <v>565</v>
      </c>
      <c r="C917" s="510" t="s">
        <v>383</v>
      </c>
      <c r="D917" s="85">
        <v>480000</v>
      </c>
      <c r="E917" s="86">
        <v>1</v>
      </c>
      <c r="F917" s="542">
        <v>2.8732000000000002</v>
      </c>
      <c r="G917" s="542">
        <v>2.8732000000000002</v>
      </c>
      <c r="H917" s="87">
        <f>G917-F917</f>
        <v>0</v>
      </c>
      <c r="I917" s="87"/>
      <c r="J917" s="87"/>
      <c r="K917" s="200">
        <f>(G917-F917)*D917*E917</f>
        <v>0</v>
      </c>
    </row>
    <row r="918" spans="1:12" ht="22.5" x14ac:dyDescent="0.2">
      <c r="A918" s="1295"/>
      <c r="B918" s="122" t="s">
        <v>566</v>
      </c>
      <c r="C918" s="510" t="s">
        <v>384</v>
      </c>
      <c r="D918" s="85">
        <v>480000</v>
      </c>
      <c r="E918" s="86">
        <v>1</v>
      </c>
      <c r="F918" s="542">
        <v>3.6901000000000002</v>
      </c>
      <c r="G918" s="542">
        <v>3.6901000000000002</v>
      </c>
      <c r="H918" s="87">
        <f>G918-F918</f>
        <v>0</v>
      </c>
      <c r="I918" s="87"/>
      <c r="J918" s="87"/>
      <c r="K918" s="200">
        <f>(G918-F918)*D918*E918</f>
        <v>0</v>
      </c>
    </row>
    <row r="919" spans="1:12" x14ac:dyDescent="0.2">
      <c r="A919" s="1295"/>
      <c r="B919" s="59" t="s">
        <v>52</v>
      </c>
      <c r="C919" s="43"/>
      <c r="D919" s="43"/>
      <c r="E919" s="44"/>
      <c r="F919" s="474"/>
      <c r="G919" s="70"/>
      <c r="H919" s="46"/>
      <c r="I919" s="46"/>
      <c r="J919" s="46"/>
      <c r="K919" s="195">
        <f>K917+K918</f>
        <v>0</v>
      </c>
    </row>
    <row r="920" spans="1:12" s="4" customFormat="1" x14ac:dyDescent="0.2">
      <c r="A920" s="1295"/>
      <c r="B920" s="61" t="s">
        <v>241</v>
      </c>
      <c r="C920" s="62"/>
      <c r="D920" s="62"/>
      <c r="E920" s="63"/>
      <c r="F920" s="64"/>
      <c r="G920" s="64"/>
      <c r="H920" s="65"/>
      <c r="I920" s="66"/>
      <c r="J920" s="66"/>
      <c r="K920" s="590">
        <f>K916-K919</f>
        <v>0</v>
      </c>
      <c r="L920" s="896"/>
    </row>
    <row r="921" spans="1:12" x14ac:dyDescent="0.2">
      <c r="A921" s="1295"/>
      <c r="B921" s="690" t="s">
        <v>242</v>
      </c>
      <c r="C921" s="43">
        <v>43498383</v>
      </c>
      <c r="D921" s="43">
        <v>1301.7922000000001</v>
      </c>
      <c r="E921" s="44">
        <v>1</v>
      </c>
      <c r="F921" s="97">
        <v>907497</v>
      </c>
      <c r="G921" s="97">
        <v>907497</v>
      </c>
      <c r="H921" s="46">
        <f>G921-F921</f>
        <v>0</v>
      </c>
      <c r="I921" s="46"/>
      <c r="J921" s="46"/>
      <c r="K921" s="194">
        <f>(G921-F921)*D921*E921</f>
        <v>0</v>
      </c>
    </row>
    <row r="922" spans="1:12" x14ac:dyDescent="0.2">
      <c r="A922" s="1295"/>
      <c r="B922" s="174" t="s">
        <v>8</v>
      </c>
      <c r="C922" s="43"/>
      <c r="D922" s="43"/>
      <c r="E922" s="44"/>
      <c r="F922" s="97"/>
      <c r="G922" s="97"/>
      <c r="H922" s="46"/>
      <c r="I922" s="46"/>
      <c r="J922" s="46"/>
      <c r="K922" s="195">
        <f>K921</f>
        <v>0</v>
      </c>
    </row>
    <row r="923" spans="1:12" x14ac:dyDescent="0.2">
      <c r="A923" s="1295"/>
      <c r="B923" s="42" t="s">
        <v>243</v>
      </c>
      <c r="C923" s="43">
        <v>2562754</v>
      </c>
      <c r="D923" s="43">
        <v>5000</v>
      </c>
      <c r="E923" s="44">
        <v>1</v>
      </c>
      <c r="F923" s="97">
        <v>46967.8</v>
      </c>
      <c r="G923" s="97">
        <v>46967.8</v>
      </c>
      <c r="H923" s="46">
        <f>G923-F923</f>
        <v>0</v>
      </c>
      <c r="I923" s="46"/>
      <c r="J923" s="46"/>
      <c r="K923" s="194">
        <f>(G923-F923)*D923*E923</f>
        <v>0</v>
      </c>
    </row>
    <row r="924" spans="1:12" x14ac:dyDescent="0.2">
      <c r="A924" s="1295"/>
      <c r="B924" s="42" t="s">
        <v>244</v>
      </c>
      <c r="C924" s="43">
        <v>3716076</v>
      </c>
      <c r="D924" s="43">
        <v>132</v>
      </c>
      <c r="E924" s="44">
        <v>1.01</v>
      </c>
      <c r="F924" s="528">
        <v>527388</v>
      </c>
      <c r="G924" s="528">
        <v>527388</v>
      </c>
      <c r="H924" s="46">
        <f>G924-F924</f>
        <v>0</v>
      </c>
      <c r="I924" s="46"/>
      <c r="J924" s="46"/>
      <c r="K924" s="194">
        <f>(G924-F924)*D924*E924</f>
        <v>0</v>
      </c>
    </row>
    <row r="925" spans="1:12" x14ac:dyDescent="0.2">
      <c r="A925" s="1295"/>
      <c r="B925" s="59" t="s">
        <v>52</v>
      </c>
      <c r="C925" s="43"/>
      <c r="D925" s="43"/>
      <c r="E925" s="44"/>
      <c r="F925" s="97"/>
      <c r="G925" s="97"/>
      <c r="H925" s="46"/>
      <c r="I925" s="46"/>
      <c r="J925" s="46"/>
      <c r="K925" s="195">
        <f>K923+K924</f>
        <v>0</v>
      </c>
    </row>
    <row r="926" spans="1:12" s="4" customFormat="1" x14ac:dyDescent="0.2">
      <c r="A926" s="1295"/>
      <c r="B926" s="296" t="s">
        <v>245</v>
      </c>
      <c r="C926" s="120"/>
      <c r="D926" s="120"/>
      <c r="E926" s="63"/>
      <c r="F926" s="129"/>
      <c r="G926" s="129"/>
      <c r="H926" s="66"/>
      <c r="I926" s="66"/>
      <c r="J926" s="66"/>
      <c r="K926" s="576">
        <f>K922-K925</f>
        <v>0</v>
      </c>
      <c r="L926" s="896"/>
    </row>
    <row r="927" spans="1:12" x14ac:dyDescent="0.2">
      <c r="A927" s="1295"/>
      <c r="B927" s="42" t="s">
        <v>246</v>
      </c>
      <c r="C927" s="43">
        <v>807909</v>
      </c>
      <c r="D927" s="43">
        <v>10000</v>
      </c>
      <c r="E927" s="44">
        <v>1</v>
      </c>
      <c r="F927" s="97">
        <v>39692.5</v>
      </c>
      <c r="G927" s="97">
        <v>39692.5</v>
      </c>
      <c r="H927" s="46">
        <f>G927-F927</f>
        <v>0</v>
      </c>
      <c r="I927" s="46"/>
      <c r="J927" s="46"/>
      <c r="K927" s="194">
        <f>(G927-F927)*D927*E927</f>
        <v>0</v>
      </c>
    </row>
    <row r="928" spans="1:12" x14ac:dyDescent="0.2">
      <c r="A928" s="1295"/>
      <c r="B928" s="174" t="s">
        <v>8</v>
      </c>
      <c r="C928" s="43"/>
      <c r="D928" s="43"/>
      <c r="E928" s="44"/>
      <c r="F928" s="97"/>
      <c r="G928" s="97"/>
      <c r="H928" s="46"/>
      <c r="I928" s="46"/>
      <c r="J928" s="46"/>
      <c r="K928" s="195">
        <f>K927</f>
        <v>0</v>
      </c>
    </row>
    <row r="929" spans="1:12" x14ac:dyDescent="0.2">
      <c r="A929" s="1295"/>
      <c r="B929" s="67" t="s">
        <v>247</v>
      </c>
      <c r="C929" s="43">
        <v>203</v>
      </c>
      <c r="D929" s="43">
        <v>49500</v>
      </c>
      <c r="E929" s="44">
        <v>1</v>
      </c>
      <c r="F929" s="161">
        <v>6657.2</v>
      </c>
      <c r="G929" s="161">
        <v>6657.2</v>
      </c>
      <c r="H929" s="46">
        <f>G929-F929</f>
        <v>0</v>
      </c>
      <c r="I929" s="46"/>
      <c r="J929" s="46"/>
      <c r="K929" s="194">
        <f>(G929-F929)*D929*E929</f>
        <v>0</v>
      </c>
    </row>
    <row r="930" spans="1:12" x14ac:dyDescent="0.2">
      <c r="A930" s="1295"/>
      <c r="B930" s="67" t="s">
        <v>244</v>
      </c>
      <c r="C930" s="43">
        <v>77411789</v>
      </c>
      <c r="D930" s="43">
        <v>66000</v>
      </c>
      <c r="E930" s="44">
        <v>1</v>
      </c>
      <c r="F930" s="94">
        <v>18841.010999999999</v>
      </c>
      <c r="G930" s="94">
        <v>18841.010999999999</v>
      </c>
      <c r="H930" s="46">
        <f>G930-F930</f>
        <v>0</v>
      </c>
      <c r="I930" s="46"/>
      <c r="J930" s="46"/>
      <c r="K930" s="194">
        <f>(G930-F930)*D930*E930</f>
        <v>0</v>
      </c>
    </row>
    <row r="931" spans="1:12" x14ac:dyDescent="0.2">
      <c r="A931" s="1295"/>
      <c r="B931" s="59" t="s">
        <v>52</v>
      </c>
      <c r="C931" s="43"/>
      <c r="D931" s="43"/>
      <c r="E931" s="44"/>
      <c r="F931" s="475"/>
      <c r="G931" s="97"/>
      <c r="H931" s="46"/>
      <c r="I931" s="46"/>
      <c r="J931" s="46"/>
      <c r="K931" s="195">
        <f>K929+K930</f>
        <v>0</v>
      </c>
    </row>
    <row r="932" spans="1:12" s="4" customFormat="1" x14ac:dyDescent="0.2">
      <c r="A932" s="1295"/>
      <c r="B932" s="296" t="s">
        <v>248</v>
      </c>
      <c r="C932" s="62"/>
      <c r="D932" s="62"/>
      <c r="E932" s="63"/>
      <c r="F932" s="64"/>
      <c r="G932" s="64"/>
      <c r="H932" s="65"/>
      <c r="I932" s="66"/>
      <c r="J932" s="66"/>
      <c r="K932" s="197">
        <f>K928-K931</f>
        <v>0</v>
      </c>
      <c r="L932" s="896"/>
    </row>
    <row r="933" spans="1:12" x14ac:dyDescent="0.2">
      <c r="A933" s="1295"/>
      <c r="B933" s="157" t="s">
        <v>679</v>
      </c>
      <c r="C933" s="78">
        <v>38676535</v>
      </c>
      <c r="D933" s="78">
        <v>480000</v>
      </c>
      <c r="E933" s="79">
        <v>1</v>
      </c>
      <c r="F933" s="521">
        <v>1331.6886999999999</v>
      </c>
      <c r="G933" s="521">
        <v>1333.4285</v>
      </c>
      <c r="H933" s="81">
        <f>G933-F933</f>
        <v>1.7398000000000593</v>
      </c>
      <c r="I933" s="81"/>
      <c r="J933" s="81"/>
      <c r="K933" s="198">
        <f>(G933-F933)*D933*E933</f>
        <v>835104.00000002841</v>
      </c>
    </row>
    <row r="934" spans="1:12" x14ac:dyDescent="0.2">
      <c r="A934" s="1295"/>
      <c r="B934" s="157" t="s">
        <v>679</v>
      </c>
      <c r="C934" s="78">
        <v>38676534</v>
      </c>
      <c r="D934" s="78">
        <v>480000</v>
      </c>
      <c r="E934" s="79">
        <v>1</v>
      </c>
      <c r="F934" s="521">
        <v>1254.8496</v>
      </c>
      <c r="G934" s="521">
        <v>1257.9758999999999</v>
      </c>
      <c r="H934" s="81">
        <f t="shared" ref="H934:H939" si="85">G934-F934</f>
        <v>3.126299999999901</v>
      </c>
      <c r="I934" s="81"/>
      <c r="J934" s="81"/>
      <c r="K934" s="198">
        <f t="shared" ref="K934:K939" si="86">(G934-F934)*D934*E934</f>
        <v>1500623.9999999525</v>
      </c>
    </row>
    <row r="935" spans="1:12" x14ac:dyDescent="0.2">
      <c r="A935" s="1295"/>
      <c r="B935" s="157" t="s">
        <v>679</v>
      </c>
      <c r="C935" s="78">
        <v>38676533</v>
      </c>
      <c r="D935" s="78">
        <v>480000</v>
      </c>
      <c r="E935" s="79">
        <v>1</v>
      </c>
      <c r="F935" s="521">
        <v>1424.8054999999999</v>
      </c>
      <c r="G935" s="521">
        <v>1432.0273999999999</v>
      </c>
      <c r="H935" s="81">
        <f t="shared" si="85"/>
        <v>7.2219000000000051</v>
      </c>
      <c r="I935" s="81"/>
      <c r="J935" s="81"/>
      <c r="K935" s="198">
        <f t="shared" si="86"/>
        <v>3466512.0000000023</v>
      </c>
    </row>
    <row r="936" spans="1:12" x14ac:dyDescent="0.2">
      <c r="A936" s="1295"/>
      <c r="B936" s="50" t="s">
        <v>8</v>
      </c>
      <c r="C936" s="102"/>
      <c r="D936" s="102"/>
      <c r="E936" s="55"/>
      <c r="F936" s="905"/>
      <c r="G936" s="905"/>
      <c r="H936" s="247"/>
      <c r="I936" s="57"/>
      <c r="J936" s="57"/>
      <c r="K936" s="202">
        <f>K933+K934+K935</f>
        <v>5802239.9999999832</v>
      </c>
    </row>
    <row r="937" spans="1:12" x14ac:dyDescent="0.2">
      <c r="A937" s="1295"/>
      <c r="B937" s="157" t="s">
        <v>680</v>
      </c>
      <c r="C937" s="78">
        <v>38676535</v>
      </c>
      <c r="D937" s="78">
        <v>480000</v>
      </c>
      <c r="E937" s="79">
        <v>1</v>
      </c>
      <c r="F937" s="521">
        <v>7.6839000000000004</v>
      </c>
      <c r="G937" s="521">
        <v>7.7899000000000003</v>
      </c>
      <c r="H937" s="81">
        <f t="shared" si="85"/>
        <v>0.10599999999999987</v>
      </c>
      <c r="I937" s="81"/>
      <c r="J937" s="81"/>
      <c r="K937" s="198">
        <f t="shared" si="86"/>
        <v>50879.999999999942</v>
      </c>
    </row>
    <row r="938" spans="1:12" x14ac:dyDescent="0.2">
      <c r="A938" s="1295"/>
      <c r="B938" s="157" t="s">
        <v>680</v>
      </c>
      <c r="C938" s="78">
        <v>38676534</v>
      </c>
      <c r="D938" s="78">
        <v>480000</v>
      </c>
      <c r="E938" s="79">
        <v>1</v>
      </c>
      <c r="F938" s="521">
        <v>7.5202999999999998</v>
      </c>
      <c r="G938" s="521">
        <v>7.6063999999999998</v>
      </c>
      <c r="H938" s="81">
        <f t="shared" si="85"/>
        <v>8.6100000000000065E-2</v>
      </c>
      <c r="I938" s="81"/>
      <c r="J938" s="81"/>
      <c r="K938" s="198">
        <f t="shared" si="86"/>
        <v>41328.000000000029</v>
      </c>
    </row>
    <row r="939" spans="1:12" x14ac:dyDescent="0.2">
      <c r="A939" s="1295"/>
      <c r="B939" s="157" t="s">
        <v>680</v>
      </c>
      <c r="C939" s="78">
        <v>38676533</v>
      </c>
      <c r="D939" s="78">
        <v>480000</v>
      </c>
      <c r="E939" s="79">
        <v>1</v>
      </c>
      <c r="F939" s="521">
        <v>9.8947000000000003</v>
      </c>
      <c r="G939" s="521">
        <v>10.0341</v>
      </c>
      <c r="H939" s="81">
        <f t="shared" si="85"/>
        <v>0.13940000000000019</v>
      </c>
      <c r="I939" s="81"/>
      <c r="J939" s="81"/>
      <c r="K939" s="198">
        <f t="shared" si="86"/>
        <v>66912.000000000087</v>
      </c>
    </row>
    <row r="940" spans="1:12" x14ac:dyDescent="0.2">
      <c r="A940" s="1295"/>
      <c r="B940" s="50" t="s">
        <v>52</v>
      </c>
      <c r="C940" s="102"/>
      <c r="D940" s="102"/>
      <c r="E940" s="55"/>
      <c r="F940" s="103"/>
      <c r="G940" s="103"/>
      <c r="H940" s="247"/>
      <c r="I940" s="57"/>
      <c r="J940" s="57"/>
      <c r="K940" s="202">
        <f>K937+K938+K939</f>
        <v>159120.00000000006</v>
      </c>
    </row>
    <row r="941" spans="1:12" x14ac:dyDescent="0.2">
      <c r="A941" s="1295"/>
      <c r="B941" s="61" t="s">
        <v>681</v>
      </c>
      <c r="C941" s="62"/>
      <c r="D941" s="62"/>
      <c r="E941" s="63"/>
      <c r="F941" s="64"/>
      <c r="G941" s="64"/>
      <c r="H941" s="65"/>
      <c r="I941" s="66"/>
      <c r="J941" s="66"/>
      <c r="K941" s="197">
        <f>K936-K940</f>
        <v>5643119.9999999832</v>
      </c>
      <c r="L941" s="1082">
        <v>3</v>
      </c>
    </row>
    <row r="942" spans="1:12" x14ac:dyDescent="0.2">
      <c r="A942" s="1295"/>
      <c r="B942" s="157" t="s">
        <v>718</v>
      </c>
      <c r="C942" s="78" t="s">
        <v>721</v>
      </c>
      <c r="D942" s="78">
        <v>1440000</v>
      </c>
      <c r="E942" s="79">
        <v>1</v>
      </c>
      <c r="F942" s="521">
        <v>582.04300000000001</v>
      </c>
      <c r="G942" s="521">
        <v>583.06410000000005</v>
      </c>
      <c r="H942" s="81">
        <f>G942-F942</f>
        <v>1.0211000000000467</v>
      </c>
      <c r="I942" s="81"/>
      <c r="J942" s="81"/>
      <c r="K942" s="198">
        <f>(G942-F942)*D942*E942</f>
        <v>1470384.0000000673</v>
      </c>
    </row>
    <row r="943" spans="1:12" x14ac:dyDescent="0.2">
      <c r="A943" s="1295"/>
      <c r="B943" s="50" t="s">
        <v>8</v>
      </c>
      <c r="C943" s="102"/>
      <c r="D943" s="102"/>
      <c r="E943" s="55"/>
      <c r="F943" s="905"/>
      <c r="G943" s="905"/>
      <c r="H943" s="247"/>
      <c r="I943" s="57"/>
      <c r="J943" s="57"/>
      <c r="K943" s="202">
        <f>K942</f>
        <v>1470384.0000000673</v>
      </c>
    </row>
    <row r="944" spans="1:12" x14ac:dyDescent="0.2">
      <c r="A944" s="1295"/>
      <c r="B944" s="157" t="s">
        <v>719</v>
      </c>
      <c r="C944" s="78" t="s">
        <v>721</v>
      </c>
      <c r="D944" s="92">
        <v>1440000</v>
      </c>
      <c r="E944" s="79">
        <v>1</v>
      </c>
      <c r="F944" s="521">
        <v>6.5951000000000004</v>
      </c>
      <c r="G944" s="521">
        <v>6.6961000000000004</v>
      </c>
      <c r="H944" s="81">
        <f>G944-F944</f>
        <v>0.10099999999999998</v>
      </c>
      <c r="I944" s="81"/>
      <c r="J944" s="81"/>
      <c r="K944" s="198">
        <f>(G944-F944)*D944*E944</f>
        <v>145439.99999999997</v>
      </c>
    </row>
    <row r="945" spans="1:13" x14ac:dyDescent="0.2">
      <c r="A945" s="1295"/>
      <c r="B945" s="50" t="s">
        <v>52</v>
      </c>
      <c r="C945" s="102"/>
      <c r="D945" s="102"/>
      <c r="E945" s="55"/>
      <c r="F945" s="103"/>
      <c r="G945" s="103"/>
      <c r="H945" s="247"/>
      <c r="I945" s="57"/>
      <c r="J945" s="57"/>
      <c r="K945" s="202">
        <f>K944</f>
        <v>145439.99999999997</v>
      </c>
    </row>
    <row r="946" spans="1:13" x14ac:dyDescent="0.2">
      <c r="A946" s="1295"/>
      <c r="B946" s="61" t="s">
        <v>720</v>
      </c>
      <c r="C946" s="62"/>
      <c r="D946" s="62"/>
      <c r="E946" s="63"/>
      <c r="F946" s="64"/>
      <c r="G946" s="64"/>
      <c r="H946" s="65"/>
      <c r="I946" s="66"/>
      <c r="J946" s="66"/>
      <c r="K946" s="197">
        <f>K943-K945</f>
        <v>1324944.0000000673</v>
      </c>
      <c r="L946" s="1082">
        <v>4</v>
      </c>
    </row>
    <row r="947" spans="1:13" x14ac:dyDescent="0.2">
      <c r="A947" s="1295"/>
      <c r="B947" s="157" t="s">
        <v>255</v>
      </c>
      <c r="C947" s="78">
        <v>12393373</v>
      </c>
      <c r="D947" s="78">
        <v>960000</v>
      </c>
      <c r="E947" s="79">
        <v>1</v>
      </c>
      <c r="F947" s="80">
        <v>3554.04135</v>
      </c>
      <c r="G947" s="80">
        <v>3554.04135</v>
      </c>
      <c r="H947" s="81">
        <f>G947-F947</f>
        <v>0</v>
      </c>
      <c r="I947" s="81"/>
      <c r="J947" s="81"/>
      <c r="K947" s="198">
        <f>(G947-F947)*D947*E947</f>
        <v>0</v>
      </c>
    </row>
    <row r="948" spans="1:13" x14ac:dyDescent="0.2">
      <c r="A948" s="1295"/>
      <c r="B948" s="157" t="s">
        <v>255</v>
      </c>
      <c r="C948" s="78">
        <v>216742466</v>
      </c>
      <c r="D948" s="78">
        <v>960000</v>
      </c>
      <c r="E948" s="79">
        <v>1</v>
      </c>
      <c r="F948" s="521">
        <v>2121.34816</v>
      </c>
      <c r="G948" s="521">
        <v>2121.34816</v>
      </c>
      <c r="H948" s="81">
        <f>G948-F948</f>
        <v>0</v>
      </c>
      <c r="I948" s="81"/>
      <c r="J948" s="81"/>
      <c r="K948" s="198">
        <f>(G948-F948)*D948*E948</f>
        <v>0</v>
      </c>
    </row>
    <row r="949" spans="1:13" x14ac:dyDescent="0.2">
      <c r="A949" s="1295"/>
      <c r="B949" s="50" t="s">
        <v>367</v>
      </c>
      <c r="C949" s="102"/>
      <c r="D949" s="102"/>
      <c r="E949" s="55"/>
      <c r="F949" s="103"/>
      <c r="G949" s="103"/>
      <c r="H949" s="247"/>
      <c r="I949" s="57"/>
      <c r="J949" s="57"/>
      <c r="K949" s="202">
        <f>K947+K948</f>
        <v>0</v>
      </c>
    </row>
    <row r="950" spans="1:13" x14ac:dyDescent="0.2">
      <c r="A950" s="1295"/>
      <c r="B950" s="157" t="s">
        <v>256</v>
      </c>
      <c r="C950" s="78">
        <v>12393373</v>
      </c>
      <c r="D950" s="78">
        <v>960000</v>
      </c>
      <c r="E950" s="79">
        <v>1</v>
      </c>
      <c r="F950" s="80">
        <v>2.2702499999999999</v>
      </c>
      <c r="G950" s="80">
        <v>2.2702499999999999</v>
      </c>
      <c r="H950" s="81">
        <f>G950-F950</f>
        <v>0</v>
      </c>
      <c r="I950" s="81"/>
      <c r="J950" s="81"/>
      <c r="K950" s="198">
        <f>(G950-F950)*D950*E950</f>
        <v>0</v>
      </c>
    </row>
    <row r="951" spans="1:13" x14ac:dyDescent="0.2">
      <c r="A951" s="1295"/>
      <c r="B951" s="157" t="s">
        <v>256</v>
      </c>
      <c r="C951" s="78">
        <v>216742466</v>
      </c>
      <c r="D951" s="78">
        <v>960000</v>
      </c>
      <c r="E951" s="79">
        <v>1</v>
      </c>
      <c r="F951" s="521">
        <v>5.26403</v>
      </c>
      <c r="G951" s="521">
        <v>5.26403</v>
      </c>
      <c r="H951" s="81">
        <f>G951-F951</f>
        <v>0</v>
      </c>
      <c r="I951" s="81"/>
      <c r="J951" s="81"/>
      <c r="K951" s="198">
        <f>(G951-F951)*D951*E951</f>
        <v>0</v>
      </c>
    </row>
    <row r="952" spans="1:13" x14ac:dyDescent="0.2">
      <c r="A952" s="1295"/>
      <c r="B952" s="50" t="s">
        <v>368</v>
      </c>
      <c r="C952" s="102"/>
      <c r="D952" s="102"/>
      <c r="E952" s="55"/>
      <c r="F952" s="103"/>
      <c r="G952" s="103"/>
      <c r="H952" s="247"/>
      <c r="I952" s="57"/>
      <c r="J952" s="57"/>
      <c r="K952" s="202">
        <f>K950+K951</f>
        <v>0</v>
      </c>
    </row>
    <row r="953" spans="1:13" x14ac:dyDescent="0.2">
      <c r="A953" s="1295"/>
      <c r="B953" s="61" t="s">
        <v>1065</v>
      </c>
      <c r="C953" s="62"/>
      <c r="D953" s="62"/>
      <c r="E953" s="63"/>
      <c r="F953" s="64"/>
      <c r="G953" s="64"/>
      <c r="H953" s="65"/>
      <c r="I953" s="66"/>
      <c r="J953" s="66"/>
      <c r="K953" s="197">
        <f>K949-K952</f>
        <v>0</v>
      </c>
      <c r="L953" s="1082">
        <v>1</v>
      </c>
    </row>
    <row r="954" spans="1:13" x14ac:dyDescent="0.2">
      <c r="A954" s="1295"/>
      <c r="B954" s="157" t="s">
        <v>1066</v>
      </c>
      <c r="C954" s="78" t="s">
        <v>1463</v>
      </c>
      <c r="D954" s="78">
        <v>1920000</v>
      </c>
      <c r="E954" s="79">
        <v>1</v>
      </c>
      <c r="F954" s="521">
        <v>80.864583609999997</v>
      </c>
      <c r="G954" s="521">
        <v>80.864583609999997</v>
      </c>
      <c r="H954" s="81">
        <f>G954-F954</f>
        <v>0</v>
      </c>
      <c r="I954" s="81"/>
      <c r="J954" s="81"/>
      <c r="K954" s="198">
        <f>(G954-F954)*D954*E954</f>
        <v>0</v>
      </c>
    </row>
    <row r="955" spans="1:13" x14ac:dyDescent="0.2">
      <c r="A955" s="1295"/>
      <c r="B955" s="157" t="s">
        <v>1067</v>
      </c>
      <c r="C955" s="78">
        <v>214539680</v>
      </c>
      <c r="D955" s="78">
        <v>960000</v>
      </c>
      <c r="E955" s="79">
        <v>1</v>
      </c>
      <c r="F955" s="521">
        <v>1095.1653000000001</v>
      </c>
      <c r="G955" s="521">
        <v>1095.1653000000001</v>
      </c>
      <c r="H955" s="81">
        <f>G955-F955</f>
        <v>0</v>
      </c>
      <c r="I955" s="81"/>
      <c r="J955" s="81"/>
      <c r="K955" s="198">
        <f>(G955-F955)*D955*E955</f>
        <v>0</v>
      </c>
    </row>
    <row r="956" spans="1:13" x14ac:dyDescent="0.2">
      <c r="A956" s="1295"/>
      <c r="B956" s="50" t="s">
        <v>367</v>
      </c>
      <c r="C956" s="102"/>
      <c r="D956" s="102"/>
      <c r="E956" s="55"/>
      <c r="F956" s="103"/>
      <c r="G956" s="103"/>
      <c r="H956" s="247"/>
      <c r="I956" s="57"/>
      <c r="J956" s="57"/>
      <c r="K956" s="202">
        <f>K954+K955</f>
        <v>0</v>
      </c>
    </row>
    <row r="957" spans="1:13" x14ac:dyDescent="0.2">
      <c r="A957" s="1295"/>
      <c r="B957" s="157" t="s">
        <v>1068</v>
      </c>
      <c r="C957" s="78" t="s">
        <v>1463</v>
      </c>
      <c r="D957" s="78">
        <v>1920000</v>
      </c>
      <c r="E957" s="79">
        <v>1</v>
      </c>
      <c r="F957" s="521">
        <v>0.31162964700000001</v>
      </c>
      <c r="G957" s="521">
        <v>0.31162964700000001</v>
      </c>
      <c r="H957" s="81">
        <f>G957-F957</f>
        <v>0</v>
      </c>
      <c r="I957" s="81"/>
      <c r="J957" s="81"/>
      <c r="K957" s="198">
        <f>(G957-F957)*D957*E957</f>
        <v>0</v>
      </c>
      <c r="M957" s="365" t="s">
        <v>1464</v>
      </c>
    </row>
    <row r="958" spans="1:13" x14ac:dyDescent="0.2">
      <c r="A958" s="1295"/>
      <c r="B958" s="157" t="s">
        <v>1069</v>
      </c>
      <c r="C958" s="78">
        <v>214539680</v>
      </c>
      <c r="D958" s="78">
        <v>960000</v>
      </c>
      <c r="E958" s="79">
        <v>1</v>
      </c>
      <c r="F958" s="521">
        <v>7.1883699999999999</v>
      </c>
      <c r="G958" s="521">
        <v>7.1883699999999999</v>
      </c>
      <c r="H958" s="81">
        <f>G958-F958</f>
        <v>0</v>
      </c>
      <c r="I958" s="81"/>
      <c r="J958" s="81"/>
      <c r="K958" s="198">
        <f>(G958-F958)*D958*E958</f>
        <v>0</v>
      </c>
    </row>
    <row r="959" spans="1:13" x14ac:dyDescent="0.2">
      <c r="A959" s="1295"/>
      <c r="B959" s="157" t="s">
        <v>410</v>
      </c>
      <c r="C959" s="78">
        <v>15612613</v>
      </c>
      <c r="D959" s="78">
        <v>240000</v>
      </c>
      <c r="E959" s="79">
        <v>0.99309999999999998</v>
      </c>
      <c r="F959" s="521">
        <v>100.10107499999999</v>
      </c>
      <c r="G959" s="521">
        <v>101.182175</v>
      </c>
      <c r="H959" s="81">
        <f>G959-F959</f>
        <v>1.0811000000000064</v>
      </c>
      <c r="I959" s="81"/>
      <c r="J959" s="81"/>
      <c r="K959" s="198">
        <f>(G959-F959)*D959*E959</f>
        <v>257673.69840000154</v>
      </c>
    </row>
    <row r="960" spans="1:13" x14ac:dyDescent="0.2">
      <c r="A960" s="1295"/>
      <c r="B960" s="50" t="s">
        <v>368</v>
      </c>
      <c r="C960" s="102"/>
      <c r="D960" s="102"/>
      <c r="E960" s="55"/>
      <c r="F960" s="103"/>
      <c r="G960" s="103"/>
      <c r="H960" s="247"/>
      <c r="I960" s="57"/>
      <c r="J960" s="57"/>
      <c r="K960" s="202">
        <f>K957+K958+K959</f>
        <v>257673.69840000154</v>
      </c>
    </row>
    <row r="961" spans="1:15" x14ac:dyDescent="0.2">
      <c r="A961" s="1295"/>
      <c r="B961" s="61" t="s">
        <v>1070</v>
      </c>
      <c r="C961" s="62"/>
      <c r="D961" s="62"/>
      <c r="E961" s="63"/>
      <c r="F961" s="64"/>
      <c r="G961" s="64"/>
      <c r="H961" s="65"/>
      <c r="I961" s="66"/>
      <c r="J961" s="66"/>
      <c r="K961" s="197">
        <f>K956-K960</f>
        <v>-257673.69840000154</v>
      </c>
      <c r="L961" s="1082">
        <v>2</v>
      </c>
    </row>
    <row r="962" spans="1:15" x14ac:dyDescent="0.2">
      <c r="A962" s="1295"/>
      <c r="B962" s="157" t="s">
        <v>1342</v>
      </c>
      <c r="C962" s="78" t="s">
        <v>1335</v>
      </c>
      <c r="D962" s="78">
        <v>720000</v>
      </c>
      <c r="E962" s="79">
        <v>1</v>
      </c>
      <c r="F962" s="521">
        <v>866.33779000000004</v>
      </c>
      <c r="G962" s="521">
        <v>887.53668000000005</v>
      </c>
      <c r="H962" s="81">
        <f>G962-F962</f>
        <v>21.198890000000006</v>
      </c>
      <c r="I962" s="81">
        <v>0</v>
      </c>
      <c r="J962" s="81">
        <v>0.69130999999999998</v>
      </c>
      <c r="K962" s="198">
        <f>(G962-F962)*D962*E962</f>
        <v>15263200.800000004</v>
      </c>
      <c r="L962" s="908"/>
    </row>
    <row r="963" spans="1:15" x14ac:dyDescent="0.2">
      <c r="A963" s="1295"/>
      <c r="B963" s="50" t="s">
        <v>8</v>
      </c>
      <c r="C963" s="78"/>
      <c r="D963" s="78"/>
      <c r="E963" s="79"/>
      <c r="F963" s="521"/>
      <c r="G963" s="521"/>
      <c r="H963" s="81"/>
      <c r="I963" s="81"/>
      <c r="J963" s="81"/>
      <c r="K963" s="202">
        <f>SUM(K962)</f>
        <v>15263200.800000004</v>
      </c>
    </row>
    <row r="964" spans="1:15" x14ac:dyDescent="0.2">
      <c r="A964" s="1295"/>
      <c r="B964" s="157" t="s">
        <v>1343</v>
      </c>
      <c r="C964" s="78" t="s">
        <v>1335</v>
      </c>
      <c r="D964" s="78">
        <v>720000</v>
      </c>
      <c r="E964" s="79">
        <v>1</v>
      </c>
      <c r="F964" s="521">
        <v>3.4251399999999999</v>
      </c>
      <c r="G964" s="521">
        <v>3.4973299999999998</v>
      </c>
      <c r="H964" s="81">
        <f>G964-F964</f>
        <v>7.2189999999999976E-2</v>
      </c>
      <c r="I964" s="81">
        <v>0</v>
      </c>
      <c r="J964" s="81">
        <v>0.12919</v>
      </c>
      <c r="K964" s="198">
        <f>(G964-F964)*D964*E964</f>
        <v>51976.799999999981</v>
      </c>
    </row>
    <row r="965" spans="1:15" x14ac:dyDescent="0.2">
      <c r="A965" s="1295"/>
      <c r="B965" s="50" t="s">
        <v>52</v>
      </c>
      <c r="C965" s="78"/>
      <c r="D965" s="78"/>
      <c r="E965" s="79"/>
      <c r="F965" s="80"/>
      <c r="G965" s="80"/>
      <c r="H965" s="81"/>
      <c r="I965" s="81"/>
      <c r="J965" s="81"/>
      <c r="K965" s="202">
        <f>SUM(K964)</f>
        <v>51976.799999999981</v>
      </c>
    </row>
    <row r="966" spans="1:15" x14ac:dyDescent="0.2">
      <c r="A966" s="1295"/>
      <c r="B966" s="61" t="s">
        <v>1336</v>
      </c>
      <c r="C966" s="109"/>
      <c r="D966" s="109"/>
      <c r="E966" s="110"/>
      <c r="F966" s="111"/>
      <c r="G966" s="111"/>
      <c r="H966" s="112"/>
      <c r="I966" s="112"/>
      <c r="J966" s="112"/>
      <c r="K966" s="197">
        <f>K963-K965</f>
        <v>15211224.000000004</v>
      </c>
      <c r="L966" s="1082">
        <v>5</v>
      </c>
    </row>
    <row r="967" spans="1:15" x14ac:dyDescent="0.2">
      <c r="A967" s="1295"/>
      <c r="B967" s="157" t="s">
        <v>1532</v>
      </c>
      <c r="C967" s="78">
        <v>42627778</v>
      </c>
      <c r="D967" s="78">
        <v>7272727.2727272734</v>
      </c>
      <c r="E967" s="79">
        <v>1</v>
      </c>
      <c r="F967" s="521">
        <v>748.68430000000001</v>
      </c>
      <c r="G967" s="521">
        <v>789.49194999999997</v>
      </c>
      <c r="H967" s="81">
        <f t="shared" ref="H967:H968" si="87">G967-F967</f>
        <v>40.807649999999967</v>
      </c>
      <c r="I967" s="81"/>
      <c r="J967" s="81"/>
      <c r="K967" s="198">
        <f t="shared" ref="K967:K968" si="88">(G967-F967)*D967*E967</f>
        <v>296782909.09090889</v>
      </c>
      <c r="M967" s="365" t="s">
        <v>1475</v>
      </c>
      <c r="O967" s="365" t="s">
        <v>1329</v>
      </c>
    </row>
    <row r="968" spans="1:15" x14ac:dyDescent="0.2">
      <c r="A968" s="1295"/>
      <c r="B968" s="157" t="s">
        <v>1533</v>
      </c>
      <c r="C968" s="1257">
        <v>42627827</v>
      </c>
      <c r="D968" s="78">
        <v>7272727.2727272734</v>
      </c>
      <c r="E968" s="79">
        <v>1</v>
      </c>
      <c r="F968" s="521">
        <v>404.14297999999997</v>
      </c>
      <c r="G968" s="521">
        <v>450.39389</v>
      </c>
      <c r="H968" s="81">
        <f t="shared" si="87"/>
        <v>46.250910000000033</v>
      </c>
      <c r="I968" s="81"/>
      <c r="J968" s="81"/>
      <c r="K968" s="1258">
        <f t="shared" si="88"/>
        <v>336370254.5454548</v>
      </c>
    </row>
    <row r="969" spans="1:15" x14ac:dyDescent="0.2">
      <c r="A969" s="1295"/>
      <c r="B969" s="157" t="s">
        <v>1534</v>
      </c>
      <c r="C969" s="78">
        <v>42627877</v>
      </c>
      <c r="D969" s="78">
        <v>1045454.5454545455</v>
      </c>
      <c r="E969" s="79">
        <v>1</v>
      </c>
      <c r="F969" s="521">
        <v>0</v>
      </c>
      <c r="G969" s="521">
        <v>0</v>
      </c>
      <c r="H969" s="81">
        <f>G969-F969</f>
        <v>0</v>
      </c>
      <c r="I969" s="81">
        <v>0</v>
      </c>
      <c r="J969" s="81">
        <v>0</v>
      </c>
      <c r="K969" s="198">
        <f>(G969-F969)*D969*E969</f>
        <v>0</v>
      </c>
    </row>
    <row r="970" spans="1:15" x14ac:dyDescent="0.2">
      <c r="A970" s="1295"/>
      <c r="B970" s="50" t="s">
        <v>8</v>
      </c>
      <c r="C970" s="78"/>
      <c r="D970" s="78"/>
      <c r="E970" s="79"/>
      <c r="F970" s="80"/>
      <c r="G970" s="80"/>
      <c r="H970" s="81"/>
      <c r="I970" s="81"/>
      <c r="J970" s="81"/>
      <c r="K970" s="202">
        <f>SUM(K967:K969)</f>
        <v>633153163.63636374</v>
      </c>
      <c r="N970" s="365" t="s">
        <v>1329</v>
      </c>
    </row>
    <row r="971" spans="1:15" x14ac:dyDescent="0.2">
      <c r="A971" s="1295"/>
      <c r="B971" s="157" t="s">
        <v>1535</v>
      </c>
      <c r="C971" s="78">
        <v>42627778</v>
      </c>
      <c r="D971" s="78">
        <v>7272727.2727272734</v>
      </c>
      <c r="E971" s="79">
        <v>1</v>
      </c>
      <c r="F971" s="521">
        <v>8.7475799999999992</v>
      </c>
      <c r="G971" s="521">
        <v>8.9609899999999989</v>
      </c>
      <c r="H971" s="81">
        <f t="shared" ref="H971:H972" si="89">G971-F971</f>
        <v>0.21340999999999966</v>
      </c>
      <c r="I971" s="81"/>
      <c r="J971" s="81"/>
      <c r="K971" s="198">
        <f t="shared" ref="K971:K973" si="90">(G971-F971)*D971*E971</f>
        <v>1552072.727272725</v>
      </c>
      <c r="N971" s="365"/>
    </row>
    <row r="972" spans="1:15" x14ac:dyDescent="0.2">
      <c r="A972" s="1295"/>
      <c r="B972" s="157" t="s">
        <v>1536</v>
      </c>
      <c r="C972" s="1257">
        <v>42627827</v>
      </c>
      <c r="D972" s="78">
        <v>7272727.2727272734</v>
      </c>
      <c r="E972" s="79">
        <v>1</v>
      </c>
      <c r="F972" s="521">
        <v>2.4743000000000004</v>
      </c>
      <c r="G972" s="521">
        <v>2.4743000000000004</v>
      </c>
      <c r="H972" s="81">
        <f t="shared" si="89"/>
        <v>0</v>
      </c>
      <c r="I972" s="81"/>
      <c r="J972" s="81"/>
      <c r="K972" s="1258">
        <f t="shared" si="90"/>
        <v>0</v>
      </c>
      <c r="N972" s="365"/>
    </row>
    <row r="973" spans="1:15" x14ac:dyDescent="0.2">
      <c r="A973" s="1295"/>
      <c r="B973" s="157" t="s">
        <v>1537</v>
      </c>
      <c r="C973" s="78">
        <v>42627877</v>
      </c>
      <c r="D973" s="78">
        <v>1045454.5454545455</v>
      </c>
      <c r="E973" s="79">
        <v>1</v>
      </c>
      <c r="F973" s="521">
        <v>91.414619999999999</v>
      </c>
      <c r="G973" s="521">
        <v>91.463880000000003</v>
      </c>
      <c r="H973" s="81">
        <f>G973-F973</f>
        <v>4.9260000000003856E-2</v>
      </c>
      <c r="I973" s="81">
        <v>0</v>
      </c>
      <c r="J973" s="81">
        <v>4.1599999999999998E-2</v>
      </c>
      <c r="K973" s="198">
        <f t="shared" si="90"/>
        <v>51499.090909094943</v>
      </c>
    </row>
    <row r="974" spans="1:15" x14ac:dyDescent="0.2">
      <c r="A974" s="1295"/>
      <c r="B974" s="50" t="s">
        <v>52</v>
      </c>
      <c r="C974" s="78"/>
      <c r="D974" s="78"/>
      <c r="E974" s="79"/>
      <c r="F974" s="80"/>
      <c r="G974" s="80"/>
      <c r="H974" s="81"/>
      <c r="I974" s="81"/>
      <c r="J974" s="81"/>
      <c r="K974" s="202">
        <f>SUM(K971:K973)</f>
        <v>1603571.81818182</v>
      </c>
    </row>
    <row r="975" spans="1:15" x14ac:dyDescent="0.2">
      <c r="A975" s="1295"/>
      <c r="B975" s="61" t="s">
        <v>1337</v>
      </c>
      <c r="C975" s="62"/>
      <c r="D975" s="62"/>
      <c r="E975" s="63"/>
      <c r="F975" s="64"/>
      <c r="G975" s="64"/>
      <c r="H975" s="65"/>
      <c r="I975" s="66"/>
      <c r="J975" s="66"/>
      <c r="K975" s="197">
        <f>K970-K974</f>
        <v>631549591.81818187</v>
      </c>
      <c r="L975" s="1082">
        <v>6</v>
      </c>
      <c r="M975" s="365" t="s">
        <v>1538</v>
      </c>
    </row>
    <row r="976" spans="1:15" x14ac:dyDescent="0.2">
      <c r="A976" s="1295"/>
      <c r="B976" s="157" t="s">
        <v>1396</v>
      </c>
      <c r="C976" s="78" t="s">
        <v>1423</v>
      </c>
      <c r="D976" s="78">
        <v>836363.63636363635</v>
      </c>
      <c r="E976" s="79">
        <v>1</v>
      </c>
      <c r="F976" s="521">
        <v>93.969057430000007</v>
      </c>
      <c r="G976" s="521">
        <v>93.969057430000007</v>
      </c>
      <c r="H976" s="81">
        <f>G976-F976</f>
        <v>0</v>
      </c>
      <c r="I976" s="81">
        <v>0</v>
      </c>
      <c r="J976" s="81">
        <v>0</v>
      </c>
      <c r="K976" s="198">
        <f>(G976-F976)*D976*E976</f>
        <v>0</v>
      </c>
    </row>
    <row r="977" spans="1:13" x14ac:dyDescent="0.2">
      <c r="A977" s="1295"/>
      <c r="B977" s="157" t="s">
        <v>1396</v>
      </c>
      <c r="C977" s="78"/>
      <c r="D977" s="78">
        <v>836363.63636363635</v>
      </c>
      <c r="E977" s="79">
        <v>1</v>
      </c>
      <c r="F977" s="521">
        <v>392.21598119999999</v>
      </c>
      <c r="G977" s="521">
        <v>392.21598119999999</v>
      </c>
      <c r="H977" s="81">
        <f>G977-F977</f>
        <v>0</v>
      </c>
      <c r="I977" s="81"/>
      <c r="J977" s="81"/>
      <c r="K977" s="198">
        <f>(G977-F977)*D977*E977</f>
        <v>0</v>
      </c>
    </row>
    <row r="978" spans="1:13" x14ac:dyDescent="0.2">
      <c r="A978" s="1295"/>
      <c r="B978" s="50" t="s">
        <v>8</v>
      </c>
      <c r="C978" s="78"/>
      <c r="D978" s="78"/>
      <c r="E978" s="79"/>
      <c r="F978" s="521"/>
      <c r="G978" s="521"/>
      <c r="H978" s="81"/>
      <c r="I978" s="81">
        <v>0</v>
      </c>
      <c r="J978" s="81">
        <v>6.9999999999999999E-4</v>
      </c>
      <c r="K978" s="202">
        <f>K976+K977</f>
        <v>0</v>
      </c>
    </row>
    <row r="979" spans="1:13" x14ac:dyDescent="0.2">
      <c r="A979" s="1295"/>
      <c r="B979" s="157" t="s">
        <v>1397</v>
      </c>
      <c r="C979" s="78" t="s">
        <v>1423</v>
      </c>
      <c r="D979" s="78">
        <v>836363.63636363635</v>
      </c>
      <c r="E979" s="79">
        <v>1</v>
      </c>
      <c r="F979" s="521">
        <v>8.2082576950000004</v>
      </c>
      <c r="G979" s="521">
        <v>8.2082576950000004</v>
      </c>
      <c r="H979" s="81">
        <f t="shared" ref="H979:H980" si="91">G979-F979</f>
        <v>0</v>
      </c>
      <c r="I979" s="81"/>
      <c r="J979" s="81"/>
      <c r="K979" s="198">
        <f>(G979-F979)*D979*E979</f>
        <v>0</v>
      </c>
    </row>
    <row r="980" spans="1:13" x14ac:dyDescent="0.2">
      <c r="A980" s="1295"/>
      <c r="B980" s="157" t="s">
        <v>1501</v>
      </c>
      <c r="C980" s="78"/>
      <c r="D980" s="78">
        <v>836363.63636363635</v>
      </c>
      <c r="E980" s="79">
        <v>1</v>
      </c>
      <c r="F980" s="521">
        <v>122.7255991</v>
      </c>
      <c r="G980" s="521">
        <v>123.7685285</v>
      </c>
      <c r="H980" s="81">
        <f t="shared" si="91"/>
        <v>1.0429294000000056</v>
      </c>
      <c r="I980" s="81"/>
      <c r="J980" s="81"/>
      <c r="K980" s="198">
        <f>(G980-F980)*D980*E980</f>
        <v>872268.22545455012</v>
      </c>
    </row>
    <row r="981" spans="1:13" x14ac:dyDescent="0.2">
      <c r="A981" s="1295"/>
      <c r="B981" s="50" t="s">
        <v>52</v>
      </c>
      <c r="C981" s="78"/>
      <c r="D981" s="78"/>
      <c r="E981" s="79"/>
      <c r="F981" s="80"/>
      <c r="G981" s="80"/>
      <c r="H981" s="81"/>
      <c r="I981" s="81"/>
      <c r="J981" s="81"/>
      <c r="K981" s="202">
        <f>K979+K980</f>
        <v>872268.22545455012</v>
      </c>
    </row>
    <row r="982" spans="1:13" x14ac:dyDescent="0.2">
      <c r="A982" s="1295"/>
      <c r="B982" s="61" t="s">
        <v>1398</v>
      </c>
      <c r="C982" s="62"/>
      <c r="D982" s="62"/>
      <c r="E982" s="63"/>
      <c r="F982" s="64"/>
      <c r="G982" s="64"/>
      <c r="H982" s="65"/>
      <c r="I982" s="66"/>
      <c r="J982" s="66"/>
      <c r="K982" s="197">
        <f>K978-K981</f>
        <v>-872268.22545455012</v>
      </c>
      <c r="L982" s="1082">
        <v>7</v>
      </c>
      <c r="M982" s="365" t="s">
        <v>1329</v>
      </c>
    </row>
    <row r="983" spans="1:13" x14ac:dyDescent="0.2">
      <c r="A983" s="1295"/>
      <c r="B983" s="157" t="s">
        <v>1617</v>
      </c>
      <c r="C983" s="78">
        <v>59301555</v>
      </c>
      <c r="D983" s="78">
        <v>4181818.1818181821</v>
      </c>
      <c r="E983" s="55">
        <v>1</v>
      </c>
      <c r="F983" s="80">
        <v>0</v>
      </c>
      <c r="G983" s="80">
        <v>0</v>
      </c>
      <c r="H983" s="81">
        <f>G983-F983</f>
        <v>0</v>
      </c>
      <c r="I983" s="57"/>
      <c r="J983" s="57"/>
      <c r="K983" s="198">
        <f>(G983-F983)*D983*E983</f>
        <v>0</v>
      </c>
      <c r="L983" s="1214"/>
      <c r="M983" s="365"/>
    </row>
    <row r="984" spans="1:13" x14ac:dyDescent="0.2">
      <c r="A984" s="1295"/>
      <c r="B984" s="157" t="s">
        <v>1618</v>
      </c>
      <c r="C984" s="78">
        <v>59301557</v>
      </c>
      <c r="D984" s="78">
        <v>4181818.1818181821</v>
      </c>
      <c r="E984" s="55">
        <v>1</v>
      </c>
      <c r="F984" s="80">
        <v>0</v>
      </c>
      <c r="G984" s="80">
        <v>0</v>
      </c>
      <c r="H984" s="81">
        <f t="shared" ref="H984:H987" si="92">G984-F984</f>
        <v>0</v>
      </c>
      <c r="I984" s="57"/>
      <c r="J984" s="57"/>
      <c r="K984" s="198">
        <f t="shared" ref="K984:K987" si="93">(G984-F984)*D984*E984</f>
        <v>0</v>
      </c>
      <c r="L984" s="1214"/>
      <c r="M984" s="365"/>
    </row>
    <row r="985" spans="1:13" x14ac:dyDescent="0.2">
      <c r="A985" s="1295"/>
      <c r="B985" s="50" t="s">
        <v>8</v>
      </c>
      <c r="C985" s="78"/>
      <c r="D985" s="78"/>
      <c r="E985" s="55"/>
      <c r="F985" s="80"/>
      <c r="G985" s="80"/>
      <c r="H985" s="81"/>
      <c r="I985" s="57"/>
      <c r="J985" s="57"/>
      <c r="K985" s="202">
        <f>SUM(K983:K984)</f>
        <v>0</v>
      </c>
      <c r="L985" s="1214"/>
      <c r="M985" s="365"/>
    </row>
    <row r="986" spans="1:13" x14ac:dyDescent="0.2">
      <c r="A986" s="1295"/>
      <c r="B986" s="157" t="s">
        <v>1619</v>
      </c>
      <c r="C986" s="78">
        <v>59301555</v>
      </c>
      <c r="D986" s="78">
        <v>4181818.1818181821</v>
      </c>
      <c r="E986" s="55">
        <v>1</v>
      </c>
      <c r="F986" s="80">
        <v>0.62461999999999995</v>
      </c>
      <c r="G986" s="80">
        <v>0.69413999999999998</v>
      </c>
      <c r="H986" s="81">
        <f t="shared" si="92"/>
        <v>6.9520000000000026E-2</v>
      </c>
      <c r="I986" s="57"/>
      <c r="J986" s="57"/>
      <c r="K986" s="198">
        <f t="shared" si="93"/>
        <v>290720.00000000012</v>
      </c>
      <c r="L986" s="1214"/>
      <c r="M986" s="365"/>
    </row>
    <row r="987" spans="1:13" x14ac:dyDescent="0.2">
      <c r="A987" s="1295"/>
      <c r="B987" s="157" t="s">
        <v>1620</v>
      </c>
      <c r="C987" s="78">
        <v>59301557</v>
      </c>
      <c r="D987" s="78">
        <v>4181818.1818181821</v>
      </c>
      <c r="E987" s="55">
        <v>1</v>
      </c>
      <c r="F987" s="80">
        <v>0.15728</v>
      </c>
      <c r="G987" s="80">
        <v>0.15728</v>
      </c>
      <c r="H987" s="81">
        <f t="shared" si="92"/>
        <v>0</v>
      </c>
      <c r="I987" s="57"/>
      <c r="J987" s="57"/>
      <c r="K987" s="198">
        <f t="shared" si="93"/>
        <v>0</v>
      </c>
      <c r="L987" s="1214"/>
      <c r="M987" s="365"/>
    </row>
    <row r="988" spans="1:13" x14ac:dyDescent="0.2">
      <c r="A988" s="1295"/>
      <c r="B988" s="50" t="s">
        <v>52</v>
      </c>
      <c r="C988" s="102"/>
      <c r="D988" s="102"/>
      <c r="E988" s="55"/>
      <c r="F988" s="103"/>
      <c r="G988" s="103"/>
      <c r="H988" s="247"/>
      <c r="I988" s="57"/>
      <c r="J988" s="57"/>
      <c r="K988" s="202">
        <f>SUM(K986:K987)</f>
        <v>290720.00000000012</v>
      </c>
      <c r="L988" s="1214"/>
      <c r="M988" s="365"/>
    </row>
    <row r="989" spans="1:13" x14ac:dyDescent="0.2">
      <c r="A989" s="1295"/>
      <c r="B989" s="61" t="s">
        <v>1621</v>
      </c>
      <c r="C989" s="62"/>
      <c r="D989" s="62"/>
      <c r="E989" s="63"/>
      <c r="F989" s="64"/>
      <c r="G989" s="64"/>
      <c r="H989" s="65"/>
      <c r="I989" s="66"/>
      <c r="J989" s="66"/>
      <c r="K989" s="197">
        <f>K985-K988</f>
        <v>-290720.00000000012</v>
      </c>
      <c r="L989" s="1214"/>
      <c r="M989" s="365"/>
    </row>
    <row r="990" spans="1:13" x14ac:dyDescent="0.2">
      <c r="A990" s="1296"/>
      <c r="B990" s="154" t="s">
        <v>1208</v>
      </c>
      <c r="C990" s="114"/>
      <c r="D990" s="114"/>
      <c r="E990" s="692"/>
      <c r="F990" s="116"/>
      <c r="G990" s="116"/>
      <c r="H990" s="117"/>
      <c r="I990" s="693"/>
      <c r="J990" s="693"/>
      <c r="K990" s="1249">
        <f>K961+K953+K946+K941+K932+K926+K920+K913+K966+K975+K982+K989</f>
        <v>652308217.8943274</v>
      </c>
    </row>
    <row r="991" spans="1:13" x14ac:dyDescent="0.2">
      <c r="A991" s="1308" t="s">
        <v>1236</v>
      </c>
      <c r="B991" s="844" t="s">
        <v>249</v>
      </c>
      <c r="C991" s="845">
        <v>210164296</v>
      </c>
      <c r="D991" s="845">
        <v>1000</v>
      </c>
      <c r="E991" s="846">
        <v>1</v>
      </c>
      <c r="F991" s="847">
        <v>596265.05099999998</v>
      </c>
      <c r="G991" s="847">
        <v>596265.05099999998</v>
      </c>
      <c r="H991" s="848">
        <f t="shared" ref="H991:H1009" si="94">G991-F991</f>
        <v>0</v>
      </c>
      <c r="I991" s="848"/>
      <c r="J991" s="848"/>
      <c r="K991" s="849">
        <v>0</v>
      </c>
    </row>
    <row r="992" spans="1:13" x14ac:dyDescent="0.2">
      <c r="A992" s="1309"/>
      <c r="B992" s="844" t="s">
        <v>250</v>
      </c>
      <c r="C992" s="845">
        <v>210164296</v>
      </c>
      <c r="D992" s="845">
        <v>1000</v>
      </c>
      <c r="E992" s="846">
        <v>1</v>
      </c>
      <c r="F992" s="847">
        <v>2608.5421999999999</v>
      </c>
      <c r="G992" s="847">
        <v>2608.5421999999999</v>
      </c>
      <c r="H992" s="848">
        <f t="shared" si="94"/>
        <v>0</v>
      </c>
      <c r="I992" s="848"/>
      <c r="J992" s="848"/>
      <c r="K992" s="849">
        <f>(H992*E992*D992*1.5)+(H991*E991*D991*1.5)</f>
        <v>0</v>
      </c>
    </row>
    <row r="993" spans="1:21" s="4" customFormat="1" x14ac:dyDescent="0.2">
      <c r="A993" s="1309"/>
      <c r="B993" s="850" t="s">
        <v>251</v>
      </c>
      <c r="C993" s="851"/>
      <c r="D993" s="851"/>
      <c r="E993" s="846"/>
      <c r="F993" s="852" t="s">
        <v>373</v>
      </c>
      <c r="G993" s="852" t="s">
        <v>373</v>
      </c>
      <c r="H993" s="848"/>
      <c r="I993" s="848"/>
      <c r="J993" s="848"/>
      <c r="K993" s="853">
        <f>K991-K992</f>
        <v>0</v>
      </c>
      <c r="L993" s="896"/>
    </row>
    <row r="994" spans="1:21" x14ac:dyDescent="0.2">
      <c r="A994" s="1309"/>
      <c r="B994" s="844" t="s">
        <v>252</v>
      </c>
      <c r="C994" s="845">
        <v>96797128</v>
      </c>
      <c r="D994" s="854">
        <v>1000</v>
      </c>
      <c r="E994" s="846">
        <v>1</v>
      </c>
      <c r="F994" s="855">
        <v>259457.6004</v>
      </c>
      <c r="G994" s="855">
        <v>259457.6004</v>
      </c>
      <c r="H994" s="848">
        <f t="shared" si="94"/>
        <v>0</v>
      </c>
      <c r="I994" s="848"/>
      <c r="J994" s="848"/>
      <c r="K994" s="849">
        <f>(G994-F994)*D994*E994</f>
        <v>0</v>
      </c>
    </row>
    <row r="995" spans="1:21" x14ac:dyDescent="0.2">
      <c r="A995" s="1309"/>
      <c r="B995" s="844" t="s">
        <v>253</v>
      </c>
      <c r="C995" s="845">
        <v>96797128</v>
      </c>
      <c r="D995" s="854">
        <v>1000</v>
      </c>
      <c r="E995" s="846">
        <v>1</v>
      </c>
      <c r="F995" s="856">
        <v>1553.8277</v>
      </c>
      <c r="G995" s="856">
        <v>1553.8277</v>
      </c>
      <c r="H995" s="848">
        <f t="shared" si="94"/>
        <v>0</v>
      </c>
      <c r="I995" s="848"/>
      <c r="J995" s="848"/>
      <c r="K995" s="849">
        <f>(G995-F995)*D995*E995</f>
        <v>0</v>
      </c>
    </row>
    <row r="996" spans="1:21" s="4" customFormat="1" x14ac:dyDescent="0.2">
      <c r="A996" s="1309"/>
      <c r="B996" s="850" t="s">
        <v>254</v>
      </c>
      <c r="C996" s="851"/>
      <c r="D996" s="851"/>
      <c r="E996" s="846"/>
      <c r="F996" s="852"/>
      <c r="G996" s="852"/>
      <c r="H996" s="848"/>
      <c r="I996" s="848"/>
      <c r="J996" s="848"/>
      <c r="K996" s="853">
        <f>K994-K995</f>
        <v>0</v>
      </c>
      <c r="L996" s="896"/>
    </row>
    <row r="997" spans="1:21" x14ac:dyDescent="0.2">
      <c r="A997" s="1309"/>
      <c r="B997" s="177" t="s">
        <v>257</v>
      </c>
      <c r="C997" s="43">
        <v>12393385</v>
      </c>
      <c r="D997" s="43">
        <v>375000</v>
      </c>
      <c r="E997" s="179">
        <v>1</v>
      </c>
      <c r="F997" s="521">
        <v>4960.3391250000004</v>
      </c>
      <c r="G997" s="521">
        <v>4960.3391250000004</v>
      </c>
      <c r="H997" s="87">
        <f t="shared" si="94"/>
        <v>0</v>
      </c>
      <c r="I997" s="46"/>
      <c r="J997" s="46"/>
      <c r="K997" s="194">
        <f>(G997-F997)*D997*E997</f>
        <v>0</v>
      </c>
    </row>
    <row r="998" spans="1:21" x14ac:dyDescent="0.2">
      <c r="A998" s="1309"/>
      <c r="B998" s="177" t="s">
        <v>258</v>
      </c>
      <c r="C998" s="43">
        <v>12393385</v>
      </c>
      <c r="D998" s="43">
        <v>375000</v>
      </c>
      <c r="E998" s="179">
        <v>1</v>
      </c>
      <c r="F998" s="521">
        <v>9.3391999999999999</v>
      </c>
      <c r="G998" s="521">
        <v>9.3391999999999999</v>
      </c>
      <c r="H998" s="87">
        <f t="shared" si="94"/>
        <v>0</v>
      </c>
      <c r="I998" s="46"/>
      <c r="J998" s="46"/>
      <c r="K998" s="194">
        <f>(G998-F998)*D998*E998</f>
        <v>0</v>
      </c>
    </row>
    <row r="999" spans="1:21" s="4" customFormat="1" x14ac:dyDescent="0.2">
      <c r="A999" s="1309"/>
      <c r="B999" s="178" t="s">
        <v>633</v>
      </c>
      <c r="C999" s="62"/>
      <c r="D999" s="62"/>
      <c r="E999" s="63"/>
      <c r="F999" s="64"/>
      <c r="G999" s="64"/>
      <c r="H999" s="65"/>
      <c r="I999" s="66"/>
      <c r="J999" s="66"/>
      <c r="K999" s="1238">
        <f>K997-K998</f>
        <v>0</v>
      </c>
      <c r="L999" s="896">
        <v>1</v>
      </c>
      <c r="N999" s="1227" t="s">
        <v>1624</v>
      </c>
    </row>
    <row r="1000" spans="1:21" x14ac:dyDescent="0.2">
      <c r="A1000" s="1309"/>
      <c r="B1000" s="396" t="s">
        <v>634</v>
      </c>
      <c r="C1000" s="78">
        <v>40499920</v>
      </c>
      <c r="D1000" s="78">
        <v>960000</v>
      </c>
      <c r="E1000" s="79">
        <v>1</v>
      </c>
      <c r="F1000" s="521">
        <v>575.13030000000003</v>
      </c>
      <c r="G1000" s="521">
        <v>575.13030000000003</v>
      </c>
      <c r="H1000" s="81">
        <f t="shared" si="94"/>
        <v>0</v>
      </c>
      <c r="I1000" s="57"/>
      <c r="J1000" s="57"/>
      <c r="K1000" s="198">
        <f>(G1000-F1000)*D1000*E1000</f>
        <v>0</v>
      </c>
    </row>
    <row r="1001" spans="1:21" x14ac:dyDescent="0.2">
      <c r="A1001" s="1309"/>
      <c r="B1001" s="396" t="s">
        <v>635</v>
      </c>
      <c r="C1001" s="78">
        <v>40499920</v>
      </c>
      <c r="D1001" s="78">
        <v>960000</v>
      </c>
      <c r="E1001" s="79">
        <v>1</v>
      </c>
      <c r="F1001" s="521">
        <v>7.2218999999999998</v>
      </c>
      <c r="G1001" s="521">
        <v>7.2218999999999998</v>
      </c>
      <c r="H1001" s="81">
        <f t="shared" si="94"/>
        <v>0</v>
      </c>
      <c r="I1001" s="57"/>
      <c r="J1001" s="57"/>
      <c r="K1001" s="198">
        <f>(G1001-F1001)*D1001*E1001</f>
        <v>0</v>
      </c>
    </row>
    <row r="1002" spans="1:21" x14ac:dyDescent="0.2">
      <c r="A1002" s="1309"/>
      <c r="B1002" s="395" t="s">
        <v>636</v>
      </c>
      <c r="C1002" s="62"/>
      <c r="D1002" s="62"/>
      <c r="E1002" s="63"/>
      <c r="F1002" s="64"/>
      <c r="G1002" s="64"/>
      <c r="H1002" s="65"/>
      <c r="I1002" s="66"/>
      <c r="J1002" s="66"/>
      <c r="K1002" s="576">
        <f>K1000-K1001</f>
        <v>0</v>
      </c>
      <c r="L1002" s="749">
        <v>3</v>
      </c>
    </row>
    <row r="1003" spans="1:21" x14ac:dyDescent="0.2">
      <c r="A1003" s="1309"/>
      <c r="B1003" s="1222" t="s">
        <v>1580</v>
      </c>
      <c r="C1003" s="1223" t="s">
        <v>1586</v>
      </c>
      <c r="D1003" s="1223">
        <v>720000</v>
      </c>
      <c r="E1003" s="1224">
        <v>1</v>
      </c>
      <c r="F1003" s="1225">
        <v>1.1999999999999999E-3</v>
      </c>
      <c r="G1003" s="1225">
        <v>1.1999999999999999E-3</v>
      </c>
      <c r="H1003" s="1156">
        <f>G1003-F1003</f>
        <v>0</v>
      </c>
      <c r="I1003" s="1226"/>
      <c r="J1003" s="1226"/>
      <c r="K1003" s="1157">
        <f t="shared" ref="K1003:K1004" si="95">H1003*D1003*E1003</f>
        <v>0</v>
      </c>
      <c r="N1003" s="1146" t="s">
        <v>1625</v>
      </c>
      <c r="O1003" s="2">
        <f>D1003*E1003*H1003*1</f>
        <v>0</v>
      </c>
      <c r="Q1003" s="2">
        <v>1.1000000000000001E-3</v>
      </c>
      <c r="R1003" s="2">
        <v>1.1999999999999999E-3</v>
      </c>
      <c r="S1003" s="1216">
        <f>Q1003-F1003</f>
        <v>-9.9999999999999829E-5</v>
      </c>
      <c r="T1003" s="1217">
        <f>R1003-G1003</f>
        <v>0</v>
      </c>
      <c r="U1003" s="1218">
        <v>71.999999999999872</v>
      </c>
    </row>
    <row r="1004" spans="1:21" x14ac:dyDescent="0.2">
      <c r="A1004" s="1309"/>
      <c r="B1004" s="1152" t="s">
        <v>1581</v>
      </c>
      <c r="C1004" s="1153" t="s">
        <v>1586</v>
      </c>
      <c r="D1004" s="1153">
        <v>720000</v>
      </c>
      <c r="E1004" s="1154">
        <v>-1</v>
      </c>
      <c r="F1004" s="1155">
        <v>0</v>
      </c>
      <c r="G1004" s="1155">
        <v>0</v>
      </c>
      <c r="H1004" s="1156">
        <f>G1004-F1004</f>
        <v>0</v>
      </c>
      <c r="I1004" s="1156"/>
      <c r="J1004" s="1156"/>
      <c r="K1004" s="1157">
        <f t="shared" si="95"/>
        <v>0</v>
      </c>
      <c r="Q1004" s="2">
        <v>0</v>
      </c>
      <c r="R1004" s="2">
        <v>0</v>
      </c>
      <c r="S1004" s="1216">
        <f t="shared" ref="S1004:S1008" si="96">Q1004-F1004</f>
        <v>0</v>
      </c>
      <c r="T1004" s="1217">
        <f t="shared" ref="T1004:T1008" si="97">R1004-G1004</f>
        <v>0</v>
      </c>
      <c r="U1004" s="2">
        <v>0</v>
      </c>
    </row>
    <row r="1005" spans="1:21" x14ac:dyDescent="0.2">
      <c r="A1005" s="1309"/>
      <c r="B1005" s="1152" t="s">
        <v>1582</v>
      </c>
      <c r="C1005" s="1158" t="s">
        <v>1587</v>
      </c>
      <c r="D1005" s="1153">
        <v>1440000</v>
      </c>
      <c r="E1005" s="1154">
        <v>1</v>
      </c>
      <c r="F1005" s="1155">
        <v>5.1000000000000004E-3</v>
      </c>
      <c r="G1005" s="1155">
        <v>5.3E-3</v>
      </c>
      <c r="H1005" s="1156">
        <f t="shared" ref="H1005:H1008" si="98">G1005-F1005</f>
        <v>1.9999999999999966E-4</v>
      </c>
      <c r="I1005" s="1156"/>
      <c r="J1005" s="1156"/>
      <c r="K1005" s="1157">
        <f>H1005*D1005*E1005</f>
        <v>287.99999999999949</v>
      </c>
      <c r="Q1005" s="2">
        <v>5.0000000000000001E-3</v>
      </c>
      <c r="R1005" s="2">
        <v>5.0000000000000001E-3</v>
      </c>
      <c r="S1005" s="1216">
        <f t="shared" si="96"/>
        <v>-1.0000000000000026E-4</v>
      </c>
      <c r="T1005" s="1217">
        <f t="shared" si="97"/>
        <v>-2.9999999999999992E-4</v>
      </c>
      <c r="U1005" s="2">
        <v>0</v>
      </c>
    </row>
    <row r="1006" spans="1:21" x14ac:dyDescent="0.2">
      <c r="A1006" s="1309"/>
      <c r="B1006" s="1152" t="s">
        <v>1583</v>
      </c>
      <c r="C1006" s="1158" t="s">
        <v>1587</v>
      </c>
      <c r="D1006" s="1153">
        <v>1440000</v>
      </c>
      <c r="E1006" s="1154">
        <v>-1</v>
      </c>
      <c r="F1006" s="1155">
        <v>0.25140000000000001</v>
      </c>
      <c r="G1006" s="1155">
        <v>0.26090000000000002</v>
      </c>
      <c r="H1006" s="1156">
        <f t="shared" si="98"/>
        <v>9.5000000000000084E-3</v>
      </c>
      <c r="I1006" s="1156"/>
      <c r="J1006" s="1156"/>
      <c r="K1006" s="1157">
        <f>(G1006-F1006)*D1006*E1006</f>
        <v>-13680.000000000013</v>
      </c>
      <c r="Q1006" s="2">
        <v>8.2900000000000001E-2</v>
      </c>
      <c r="R1006" s="2">
        <v>9.1899999999999996E-2</v>
      </c>
      <c r="S1006" s="1216">
        <f t="shared" si="96"/>
        <v>-0.16850000000000001</v>
      </c>
      <c r="T1006" s="1217">
        <f t="shared" si="97"/>
        <v>-0.16900000000000004</v>
      </c>
      <c r="U1006" s="2">
        <v>-12959.999999999991</v>
      </c>
    </row>
    <row r="1007" spans="1:21" x14ac:dyDescent="0.2">
      <c r="A1007" s="1309"/>
      <c r="B1007" s="1152" t="s">
        <v>1584</v>
      </c>
      <c r="C1007" s="1153" t="s">
        <v>1588</v>
      </c>
      <c r="D1007" s="1153">
        <v>720000</v>
      </c>
      <c r="E1007" s="1154">
        <v>1</v>
      </c>
      <c r="F1007" s="1155">
        <v>15.5335</v>
      </c>
      <c r="G1007" s="1155">
        <v>15.5335</v>
      </c>
      <c r="H1007" s="1156">
        <f t="shared" si="98"/>
        <v>0</v>
      </c>
      <c r="I1007" s="1156"/>
      <c r="J1007" s="1156"/>
      <c r="K1007" s="1157">
        <f>(G1007-F1007)*D1007*E1007</f>
        <v>0</v>
      </c>
      <c r="Q1007" s="2">
        <v>15.5335</v>
      </c>
      <c r="R1007" s="2">
        <v>15.5335</v>
      </c>
      <c r="S1007" s="1216">
        <f t="shared" si="96"/>
        <v>0</v>
      </c>
      <c r="T1007" s="1217">
        <f t="shared" si="97"/>
        <v>0</v>
      </c>
      <c r="U1007" s="2">
        <v>0</v>
      </c>
    </row>
    <row r="1008" spans="1:21" x14ac:dyDescent="0.2">
      <c r="A1008" s="1309"/>
      <c r="B1008" s="1152" t="s">
        <v>1585</v>
      </c>
      <c r="C1008" s="1153" t="s">
        <v>1588</v>
      </c>
      <c r="D1008" s="1153">
        <v>720000</v>
      </c>
      <c r="E1008" s="1154">
        <v>-1</v>
      </c>
      <c r="F1008" s="1155">
        <v>5.2587999999999999</v>
      </c>
      <c r="G1008" s="1155">
        <v>5.2988999999999997</v>
      </c>
      <c r="H1008" s="1156">
        <f t="shared" si="98"/>
        <v>4.0099999999999802E-2</v>
      </c>
      <c r="I1008" s="1156"/>
      <c r="J1008" s="1156"/>
      <c r="K1008" s="1157">
        <f>(G1008-F1008)*D1008*E1008</f>
        <v>-28871.999999999858</v>
      </c>
      <c r="N1008" s="1146"/>
      <c r="Q1008" s="2">
        <v>4.8411999999999997</v>
      </c>
      <c r="R1008" s="2">
        <v>4.8818999999999999</v>
      </c>
      <c r="S1008" s="1216">
        <f t="shared" si="96"/>
        <v>-0.41760000000000019</v>
      </c>
      <c r="T1008" s="1217">
        <f t="shared" si="97"/>
        <v>-0.41699999999999982</v>
      </c>
      <c r="U1008" s="2">
        <v>-29304.000000000131</v>
      </c>
    </row>
    <row r="1009" spans="1:18" s="1133" customFormat="1" x14ac:dyDescent="0.2">
      <c r="A1009" s="1309"/>
      <c r="B1009" s="1132" t="s">
        <v>8</v>
      </c>
      <c r="C1009" s="109"/>
      <c r="D1009" s="109"/>
      <c r="E1009" s="110"/>
      <c r="F1009" s="111"/>
      <c r="G1009" s="111"/>
      <c r="H1009" s="112">
        <f t="shared" si="94"/>
        <v>0</v>
      </c>
      <c r="I1009" s="112"/>
      <c r="J1009" s="112"/>
      <c r="K1009" s="197">
        <f>SUM(K1003:K1008)</f>
        <v>-42263.999999999869</v>
      </c>
      <c r="L1009" s="926"/>
    </row>
    <row r="1010" spans="1:18" x14ac:dyDescent="0.2">
      <c r="A1010" s="1309"/>
      <c r="B1010" s="859" t="s">
        <v>259</v>
      </c>
      <c r="C1010" s="857">
        <v>208176823</v>
      </c>
      <c r="D1010" s="845">
        <v>72000</v>
      </c>
      <c r="E1010" s="846">
        <v>-1</v>
      </c>
      <c r="F1010" s="847">
        <v>0</v>
      </c>
      <c r="G1010" s="847">
        <v>0</v>
      </c>
      <c r="H1010" s="848">
        <f>G1010-F1010</f>
        <v>0</v>
      </c>
      <c r="I1010" s="848"/>
      <c r="J1010" s="848"/>
      <c r="K1010" s="849">
        <f>(G1010-F1010)*D1010*E1010</f>
        <v>0</v>
      </c>
    </row>
    <row r="1011" spans="1:18" x14ac:dyDescent="0.2">
      <c r="A1011" s="1309"/>
      <c r="B1011" s="859" t="s">
        <v>260</v>
      </c>
      <c r="C1011" s="845">
        <v>208176824</v>
      </c>
      <c r="D1011" s="845">
        <v>72000</v>
      </c>
      <c r="E1011" s="846">
        <v>-1</v>
      </c>
      <c r="F1011" s="847">
        <v>0</v>
      </c>
      <c r="G1011" s="847">
        <v>0</v>
      </c>
      <c r="H1011" s="848">
        <f>G1011-F1011</f>
        <v>0</v>
      </c>
      <c r="I1011" s="848"/>
      <c r="J1011" s="848"/>
      <c r="K1011" s="849">
        <f>(G1011-F1011)*D1011*E1011</f>
        <v>0</v>
      </c>
    </row>
    <row r="1012" spans="1:18" x14ac:dyDescent="0.2">
      <c r="A1012" s="1309"/>
      <c r="B1012" s="859" t="s">
        <v>261</v>
      </c>
      <c r="C1012" s="845">
        <v>208176825</v>
      </c>
      <c r="D1012" s="845">
        <v>72000</v>
      </c>
      <c r="E1012" s="846">
        <v>-1</v>
      </c>
      <c r="F1012" s="847">
        <v>0</v>
      </c>
      <c r="G1012" s="847">
        <v>0</v>
      </c>
      <c r="H1012" s="848">
        <f>G1012-F1012</f>
        <v>0</v>
      </c>
      <c r="I1012" s="848"/>
      <c r="J1012" s="848"/>
      <c r="K1012" s="849">
        <f>(G1012-F1012)*D1012*E1012</f>
        <v>0</v>
      </c>
    </row>
    <row r="1013" spans="1:18" x14ac:dyDescent="0.2">
      <c r="A1013" s="1309"/>
      <c r="B1013" s="859" t="s">
        <v>262</v>
      </c>
      <c r="C1013" s="845" t="s">
        <v>335</v>
      </c>
      <c r="D1013" s="845">
        <v>8000</v>
      </c>
      <c r="E1013" s="846">
        <v>1</v>
      </c>
      <c r="F1013" s="847">
        <v>43.39</v>
      </c>
      <c r="G1013" s="847">
        <v>43.39</v>
      </c>
      <c r="H1013" s="848">
        <f>G1013-F1013</f>
        <v>0</v>
      </c>
      <c r="I1013" s="848"/>
      <c r="J1013" s="848"/>
      <c r="K1013" s="849">
        <f>(G1013-F1013)*D1013*E1013</f>
        <v>0</v>
      </c>
    </row>
    <row r="1014" spans="1:18" x14ac:dyDescent="0.2">
      <c r="A1014" s="1309"/>
      <c r="B1014" s="860" t="s">
        <v>52</v>
      </c>
      <c r="C1014" s="845"/>
      <c r="D1014" s="845"/>
      <c r="E1014" s="846"/>
      <c r="F1014" s="847"/>
      <c r="G1014" s="847"/>
      <c r="H1014" s="848"/>
      <c r="I1014" s="848"/>
      <c r="J1014" s="848"/>
      <c r="K1014" s="853">
        <f>K1010+K1011+K1012+K1013</f>
        <v>0</v>
      </c>
    </row>
    <row r="1015" spans="1:18" s="1133" customFormat="1" x14ac:dyDescent="0.2">
      <c r="A1015" s="1309"/>
      <c r="B1015" s="61" t="s">
        <v>263</v>
      </c>
      <c r="C1015" s="62"/>
      <c r="D1015" s="62"/>
      <c r="E1015" s="110"/>
      <c r="F1015" s="64"/>
      <c r="G1015" s="64"/>
      <c r="H1015" s="65"/>
      <c r="I1015" s="112"/>
      <c r="J1015" s="112"/>
      <c r="K1015" s="576">
        <f>K1009-K1014</f>
        <v>-42263.999999999869</v>
      </c>
      <c r="L1015" s="926"/>
    </row>
    <row r="1016" spans="1:18" x14ac:dyDescent="0.2">
      <c r="A1016" s="1309"/>
      <c r="B1016" s="157" t="s">
        <v>568</v>
      </c>
      <c r="C1016" s="78" t="s">
        <v>569</v>
      </c>
      <c r="D1016" s="78">
        <v>2880000</v>
      </c>
      <c r="E1016" s="55">
        <v>1</v>
      </c>
      <c r="F1016" s="553">
        <v>3460.0889000000002</v>
      </c>
      <c r="G1016" s="553">
        <v>3497.6293999999998</v>
      </c>
      <c r="H1016" s="370">
        <f t="shared" ref="H1016:H1021" si="99">G1016-F1016</f>
        <v>37.540499999999611</v>
      </c>
      <c r="I1016" s="57"/>
      <c r="J1016" s="57"/>
      <c r="K1016" s="198">
        <f>(G1016-F1016)*D1016*E1016</f>
        <v>108116639.99999888</v>
      </c>
      <c r="Q1016" s="2">
        <v>137509142.39999926</v>
      </c>
      <c r="R1016" s="6">
        <f>Q1016-K1016</f>
        <v>29392502.400000378</v>
      </c>
    </row>
    <row r="1017" spans="1:18" x14ac:dyDescent="0.2">
      <c r="A1017" s="1309"/>
      <c r="B1017" s="157" t="s">
        <v>570</v>
      </c>
      <c r="C1017" s="78" t="s">
        <v>569</v>
      </c>
      <c r="D1017" s="78">
        <v>2880000</v>
      </c>
      <c r="E1017" s="55">
        <v>1</v>
      </c>
      <c r="F1017" s="554">
        <v>8.6999999999999994E-3</v>
      </c>
      <c r="G1017" s="554">
        <v>8.7200000000000003E-3</v>
      </c>
      <c r="H1017" s="83">
        <f t="shared" si="99"/>
        <v>2.000000000000092E-5</v>
      </c>
      <c r="I1017" s="57"/>
      <c r="J1017" s="57"/>
      <c r="K1017" s="198">
        <f t="shared" ref="K1017:K1021" si="100">(G1017-F1017)*D1017*E1017</f>
        <v>57.600000000002652</v>
      </c>
      <c r="Q1017" s="2">
        <v>0</v>
      </c>
      <c r="R1017" s="6">
        <f t="shared" ref="R1017:R1021" si="101">Q1017-K1017</f>
        <v>-57.600000000002652</v>
      </c>
    </row>
    <row r="1018" spans="1:18" x14ac:dyDescent="0.2">
      <c r="A1018" s="1309"/>
      <c r="B1018" s="157" t="s">
        <v>571</v>
      </c>
      <c r="C1018" s="78" t="s">
        <v>572</v>
      </c>
      <c r="D1018" s="78">
        <v>360000</v>
      </c>
      <c r="E1018" s="55">
        <v>1</v>
      </c>
      <c r="F1018" s="555">
        <v>881.91364999999996</v>
      </c>
      <c r="G1018" s="555">
        <v>887.01205000000004</v>
      </c>
      <c r="H1018" s="370">
        <f t="shared" si="99"/>
        <v>5.0984000000000833</v>
      </c>
      <c r="I1018" s="57"/>
      <c r="J1018" s="57"/>
      <c r="K1018" s="198">
        <f t="shared" si="100"/>
        <v>1835424.00000003</v>
      </c>
      <c r="Q1018" s="2">
        <v>3206329.2000000048</v>
      </c>
      <c r="R1018" s="6">
        <f t="shared" si="101"/>
        <v>1370905.1999999748</v>
      </c>
    </row>
    <row r="1019" spans="1:18" x14ac:dyDescent="0.2">
      <c r="A1019" s="1309"/>
      <c r="B1019" s="157" t="s">
        <v>613</v>
      </c>
      <c r="C1019" s="78" t="s">
        <v>1073</v>
      </c>
      <c r="D1019" s="78">
        <v>2880000</v>
      </c>
      <c r="E1019" s="55">
        <v>1</v>
      </c>
      <c r="F1019" s="556">
        <v>1565.3068699999999</v>
      </c>
      <c r="G1019" s="556">
        <v>1584.9538700000001</v>
      </c>
      <c r="H1019" s="370">
        <f t="shared" si="99"/>
        <v>19.647000000000162</v>
      </c>
      <c r="I1019" s="57"/>
      <c r="J1019" s="57"/>
      <c r="K1019" s="198">
        <f t="shared" si="100"/>
        <v>56583360.000000469</v>
      </c>
      <c r="Q1019" s="2">
        <v>73433952.000000209</v>
      </c>
      <c r="R1019" s="6">
        <f t="shared" si="101"/>
        <v>16850591.999999739</v>
      </c>
    </row>
    <row r="1020" spans="1:18" x14ac:dyDescent="0.2">
      <c r="A1020" s="1309"/>
      <c r="B1020" s="157" t="s">
        <v>614</v>
      </c>
      <c r="C1020" s="78" t="s">
        <v>1073</v>
      </c>
      <c r="D1020" s="78">
        <v>2880000</v>
      </c>
      <c r="E1020" s="55">
        <v>1</v>
      </c>
      <c r="F1020" s="556">
        <v>5.0000000000000002E-5</v>
      </c>
      <c r="G1020" s="556">
        <v>5.0000000000000002E-5</v>
      </c>
      <c r="H1020" s="370">
        <f t="shared" si="99"/>
        <v>0</v>
      </c>
      <c r="I1020" s="57"/>
      <c r="J1020" s="57"/>
      <c r="K1020" s="198">
        <f t="shared" si="100"/>
        <v>0</v>
      </c>
      <c r="Q1020" s="2">
        <v>0</v>
      </c>
      <c r="R1020" s="6">
        <f t="shared" si="101"/>
        <v>0</v>
      </c>
    </row>
    <row r="1021" spans="1:18" x14ac:dyDescent="0.2">
      <c r="A1021" s="1309"/>
      <c r="B1021" s="157" t="s">
        <v>1221</v>
      </c>
      <c r="C1021" s="78">
        <v>50501130</v>
      </c>
      <c r="D1021" s="78">
        <v>160</v>
      </c>
      <c r="E1021" s="55">
        <v>1.0249999999999999</v>
      </c>
      <c r="F1021" s="556">
        <v>5037.2510000000002</v>
      </c>
      <c r="G1021" s="556">
        <v>5152.335</v>
      </c>
      <c r="H1021" s="370">
        <f t="shared" si="99"/>
        <v>115.08399999999983</v>
      </c>
      <c r="I1021" s="57"/>
      <c r="J1021" s="57"/>
      <c r="K1021" s="198">
        <f t="shared" si="100"/>
        <v>18873.775999999973</v>
      </c>
      <c r="Q1021" s="2">
        <v>16930.868000000013</v>
      </c>
      <c r="R1021" s="6">
        <f t="shared" si="101"/>
        <v>-1942.9079999999594</v>
      </c>
    </row>
    <row r="1022" spans="1:18" x14ac:dyDescent="0.2">
      <c r="A1022" s="1309"/>
      <c r="B1022" s="50" t="s">
        <v>408</v>
      </c>
      <c r="C1022" s="78"/>
      <c r="D1022" s="102"/>
      <c r="E1022" s="55"/>
      <c r="F1022" s="103"/>
      <c r="G1022" s="103"/>
      <c r="H1022" s="247"/>
      <c r="I1022" s="57"/>
      <c r="J1022" s="57"/>
      <c r="K1022" s="202">
        <f>K1016+K1019+K1021</f>
        <v>164718873.77599934</v>
      </c>
    </row>
    <row r="1023" spans="1:18" x14ac:dyDescent="0.2">
      <c r="A1023" s="1309"/>
      <c r="B1023" s="50" t="s">
        <v>409</v>
      </c>
      <c r="C1023" s="102"/>
      <c r="D1023" s="102"/>
      <c r="E1023" s="55"/>
      <c r="F1023" s="103"/>
      <c r="G1023" s="103"/>
      <c r="H1023" s="247"/>
      <c r="I1023" s="57"/>
      <c r="J1023" s="57"/>
      <c r="K1023" s="202">
        <f>K1017+K1018+K1020</f>
        <v>1835481.6000000301</v>
      </c>
    </row>
    <row r="1024" spans="1:18" x14ac:dyDescent="0.2">
      <c r="A1024" s="1309"/>
      <c r="B1024" s="61" t="s">
        <v>1079</v>
      </c>
      <c r="C1024" s="62"/>
      <c r="D1024" s="62"/>
      <c r="E1024" s="63"/>
      <c r="F1024" s="64"/>
      <c r="G1024" s="64"/>
      <c r="H1024" s="65"/>
      <c r="I1024" s="66"/>
      <c r="J1024" s="66"/>
      <c r="K1024" s="576">
        <f>K1022-K1023</f>
        <v>162883392.17599931</v>
      </c>
      <c r="L1024" s="749">
        <v>2</v>
      </c>
      <c r="N1024" s="365" t="s">
        <v>1624</v>
      </c>
    </row>
    <row r="1025" spans="1:14" x14ac:dyDescent="0.2">
      <c r="A1025" s="1309"/>
      <c r="B1025" s="61" t="s">
        <v>1508</v>
      </c>
      <c r="C1025" s="62" t="s">
        <v>1665</v>
      </c>
      <c r="D1025" s="62">
        <v>150000</v>
      </c>
      <c r="E1025" s="63">
        <v>1</v>
      </c>
      <c r="F1025" s="64">
        <v>23.613</v>
      </c>
      <c r="G1025" s="64">
        <v>25.251999999999999</v>
      </c>
      <c r="H1025" s="1075">
        <f t="shared" ref="H1025:H1026" si="102">G1025-F1025</f>
        <v>1.6389999999999993</v>
      </c>
      <c r="I1025" s="66"/>
      <c r="J1025" s="66"/>
      <c r="K1025" s="197">
        <f t="shared" ref="K1025:K1026" si="103">(G1025-F1025)*D1025*E1025</f>
        <v>245849.99999999991</v>
      </c>
    </row>
    <row r="1026" spans="1:14" ht="22.5" x14ac:dyDescent="0.2">
      <c r="A1026" s="1309"/>
      <c r="B1026" s="1262" t="s">
        <v>1663</v>
      </c>
      <c r="C1026" s="62" t="s">
        <v>1664</v>
      </c>
      <c r="D1026" s="62">
        <v>12000</v>
      </c>
      <c r="E1026" s="63">
        <v>1</v>
      </c>
      <c r="F1026" s="64">
        <v>0</v>
      </c>
      <c r="G1026" s="64">
        <v>3.9769999999999999</v>
      </c>
      <c r="H1026" s="1075">
        <f t="shared" si="102"/>
        <v>3.9769999999999999</v>
      </c>
      <c r="I1026" s="66"/>
      <c r="J1026" s="66"/>
      <c r="K1026" s="197">
        <f t="shared" si="103"/>
        <v>47724</v>
      </c>
    </row>
    <row r="1027" spans="1:14" x14ac:dyDescent="0.2">
      <c r="A1027" s="1310"/>
      <c r="B1027" s="154" t="s">
        <v>1209</v>
      </c>
      <c r="C1027" s="132"/>
      <c r="D1027" s="132"/>
      <c r="E1027" s="142"/>
      <c r="F1027" s="118"/>
      <c r="G1027" s="118"/>
      <c r="H1027" s="118"/>
      <c r="I1027" s="118"/>
      <c r="J1027" s="118"/>
      <c r="K1027" s="203">
        <f>K1024+K1002+K999+K1025+K1015+K1026</f>
        <v>163134702.17599931</v>
      </c>
      <c r="L1027" s="228">
        <f>K1027+H1126</f>
        <v>776261974.90327084</v>
      </c>
    </row>
    <row r="1028" spans="1:14" ht="12.75" customHeight="1" x14ac:dyDescent="0.2">
      <c r="A1028" s="1324" t="s">
        <v>264</v>
      </c>
      <c r="B1028" s="859" t="s">
        <v>265</v>
      </c>
      <c r="C1028" s="845">
        <v>45729330</v>
      </c>
      <c r="D1028" s="845">
        <v>75</v>
      </c>
      <c r="E1028" s="846">
        <v>1</v>
      </c>
      <c r="F1028" s="847">
        <v>298964</v>
      </c>
      <c r="G1028" s="847">
        <v>298964</v>
      </c>
      <c r="H1028" s="848">
        <f>G1028-F1028</f>
        <v>0</v>
      </c>
      <c r="I1028" s="848"/>
      <c r="J1028" s="848"/>
      <c r="K1028" s="849">
        <f>(G1028-F1028)*D1028*E1028</f>
        <v>0</v>
      </c>
    </row>
    <row r="1029" spans="1:14" ht="18" customHeight="1" x14ac:dyDescent="0.2">
      <c r="A1029" s="1324"/>
      <c r="B1029" s="859" t="s">
        <v>266</v>
      </c>
      <c r="C1029" s="845">
        <v>3695532</v>
      </c>
      <c r="D1029" s="845">
        <v>100</v>
      </c>
      <c r="E1029" s="846">
        <v>1</v>
      </c>
      <c r="F1029" s="847">
        <v>120988</v>
      </c>
      <c r="G1029" s="847">
        <v>120988</v>
      </c>
      <c r="H1029" s="848">
        <v>0</v>
      </c>
      <c r="I1029" s="848"/>
      <c r="J1029" s="848"/>
      <c r="K1029" s="849">
        <v>0</v>
      </c>
    </row>
    <row r="1030" spans="1:14" x14ac:dyDescent="0.2">
      <c r="A1030" s="1324"/>
      <c r="B1030" s="859" t="s">
        <v>267</v>
      </c>
      <c r="C1030" s="845">
        <v>420335</v>
      </c>
      <c r="D1030" s="845">
        <v>100</v>
      </c>
      <c r="E1030" s="846">
        <v>0.95589999999999997</v>
      </c>
      <c r="F1030" s="847">
        <v>153720</v>
      </c>
      <c r="G1030" s="847">
        <v>153720</v>
      </c>
      <c r="H1030" s="848">
        <v>0</v>
      </c>
      <c r="I1030" s="848"/>
      <c r="J1030" s="848"/>
      <c r="K1030" s="849">
        <v>0</v>
      </c>
    </row>
    <row r="1031" spans="1:14" ht="18" customHeight="1" x14ac:dyDescent="0.2">
      <c r="A1031" s="1324"/>
      <c r="B1031" s="858" t="s">
        <v>8</v>
      </c>
      <c r="C1031" s="845"/>
      <c r="D1031" s="845"/>
      <c r="E1031" s="846"/>
      <c r="F1031" s="847"/>
      <c r="G1031" s="847"/>
      <c r="H1031" s="848"/>
      <c r="I1031" s="848"/>
      <c r="J1031" s="848"/>
      <c r="K1031" s="853">
        <f>K1028+K1029+K1030</f>
        <v>0</v>
      </c>
    </row>
    <row r="1032" spans="1:14" x14ac:dyDescent="0.2">
      <c r="A1032" s="1324"/>
      <c r="B1032" s="859" t="s">
        <v>268</v>
      </c>
      <c r="C1032" s="845">
        <v>2441933</v>
      </c>
      <c r="D1032" s="845">
        <v>10</v>
      </c>
      <c r="E1032" s="846">
        <v>1</v>
      </c>
      <c r="F1032" s="847">
        <v>77728</v>
      </c>
      <c r="G1032" s="847">
        <v>77728</v>
      </c>
      <c r="H1032" s="848">
        <f>G1032-F1032</f>
        <v>0</v>
      </c>
      <c r="I1032" s="848"/>
      <c r="J1032" s="848"/>
      <c r="K1032" s="849">
        <f>(G1032-F1032)*D1032*E1032</f>
        <v>0</v>
      </c>
    </row>
    <row r="1033" spans="1:14" ht="18" customHeight="1" x14ac:dyDescent="0.2">
      <c r="A1033" s="1324"/>
      <c r="B1033" s="860" t="s">
        <v>52</v>
      </c>
      <c r="C1033" s="845"/>
      <c r="D1033" s="845"/>
      <c r="E1033" s="846"/>
      <c r="F1033" s="847"/>
      <c r="G1033" s="847"/>
      <c r="H1033" s="848"/>
      <c r="I1033" s="848"/>
      <c r="J1033" s="848"/>
      <c r="K1033" s="853">
        <f>K1032</f>
        <v>0</v>
      </c>
      <c r="N1033" s="365" t="s">
        <v>1329</v>
      </c>
    </row>
    <row r="1034" spans="1:14" s="4" customFormat="1" x14ac:dyDescent="0.2">
      <c r="A1034" s="1324"/>
      <c r="B1034" s="860" t="s">
        <v>269</v>
      </c>
      <c r="C1034" s="851"/>
      <c r="D1034" s="851"/>
      <c r="E1034" s="846"/>
      <c r="F1034" s="852"/>
      <c r="G1034" s="852"/>
      <c r="H1034" s="861"/>
      <c r="I1034" s="848"/>
      <c r="J1034" s="848"/>
      <c r="K1034" s="862">
        <f>K1031-K1033</f>
        <v>0</v>
      </c>
      <c r="L1034" s="896"/>
    </row>
    <row r="1035" spans="1:14" x14ac:dyDescent="0.2">
      <c r="A1035" s="1324"/>
      <c r="B1035" s="157" t="s">
        <v>1608</v>
      </c>
      <c r="C1035" s="78">
        <v>63366004</v>
      </c>
      <c r="D1035" s="78">
        <v>1500</v>
      </c>
      <c r="E1035" s="79">
        <v>1</v>
      </c>
      <c r="F1035" s="80">
        <v>38441.758999999998</v>
      </c>
      <c r="G1035" s="1232">
        <v>38508.03</v>
      </c>
      <c r="H1035" s="46">
        <f t="shared" ref="H1035:H1037" si="104">G1035-F1035</f>
        <v>66.27100000000064</v>
      </c>
      <c r="I1035" s="1196"/>
      <c r="J1035" s="1196"/>
      <c r="K1035" s="1231">
        <f>H1035*D1035*E1035</f>
        <v>99406.50000000096</v>
      </c>
      <c r="N1035" s="1146" t="s">
        <v>1625</v>
      </c>
    </row>
    <row r="1036" spans="1:14" x14ac:dyDescent="0.2">
      <c r="A1036" s="1324"/>
      <c r="B1036" s="157" t="s">
        <v>1608</v>
      </c>
      <c r="C1036" s="78">
        <v>63366004</v>
      </c>
      <c r="D1036" s="78">
        <v>1500</v>
      </c>
      <c r="E1036" s="79">
        <v>1</v>
      </c>
      <c r="F1036" s="80">
        <v>2349.335</v>
      </c>
      <c r="G1036" s="1233">
        <v>2349.69</v>
      </c>
      <c r="H1036" s="46">
        <f t="shared" si="104"/>
        <v>0.35500000000001819</v>
      </c>
      <c r="I1036" s="1196"/>
      <c r="J1036" s="1196"/>
      <c r="K1036" s="1231">
        <f>H1036*D1036*E1036</f>
        <v>532.50000000002728</v>
      </c>
      <c r="N1036" s="1146" t="s">
        <v>1625</v>
      </c>
    </row>
    <row r="1037" spans="1:14" x14ac:dyDescent="0.2">
      <c r="A1037" s="1324"/>
      <c r="B1037" s="157" t="s">
        <v>1609</v>
      </c>
      <c r="C1037" s="78">
        <v>38775420</v>
      </c>
      <c r="D1037" s="78">
        <v>10</v>
      </c>
      <c r="E1037" s="79">
        <v>1</v>
      </c>
      <c r="F1037" s="80">
        <v>495906</v>
      </c>
      <c r="G1037" s="1234">
        <v>496862</v>
      </c>
      <c r="H1037" s="46">
        <f t="shared" si="104"/>
        <v>956</v>
      </c>
      <c r="I1037" s="1196"/>
      <c r="J1037" s="1196"/>
      <c r="K1037" s="194">
        <f>H1037*D1037*E1037</f>
        <v>9560</v>
      </c>
    </row>
    <row r="1038" spans="1:14" s="20" customFormat="1" x14ac:dyDescent="0.2">
      <c r="A1038" s="1324"/>
      <c r="B1038" s="61" t="s">
        <v>1610</v>
      </c>
      <c r="C1038" s="1197"/>
      <c r="D1038" s="1197"/>
      <c r="E1038" s="1198"/>
      <c r="F1038" s="1199"/>
      <c r="G1038" s="1199"/>
      <c r="H1038" s="1200"/>
      <c r="I1038" s="1201"/>
      <c r="J1038" s="1201"/>
      <c r="K1038" s="576">
        <f>K1035-K1036-K1037</f>
        <v>89314.000000000931</v>
      </c>
      <c r="L1038" s="926"/>
    </row>
    <row r="1039" spans="1:14" x14ac:dyDescent="0.2">
      <c r="A1039" s="1324"/>
      <c r="B1039" s="67" t="s">
        <v>270</v>
      </c>
      <c r="C1039" s="43">
        <v>50148540</v>
      </c>
      <c r="D1039" s="43">
        <v>72000</v>
      </c>
      <c r="E1039" s="44">
        <v>1</v>
      </c>
      <c r="F1039" s="557">
        <v>525.91600000000005</v>
      </c>
      <c r="G1039" s="557">
        <v>525.91600000000005</v>
      </c>
      <c r="H1039" s="46">
        <f t="shared" ref="H1039:H1048" si="105">G1039-F1039</f>
        <v>0</v>
      </c>
      <c r="I1039" s="46">
        <v>957117</v>
      </c>
      <c r="J1039" s="46">
        <v>957117</v>
      </c>
      <c r="K1039" s="194">
        <f>H1039*D1039*E1039</f>
        <v>0</v>
      </c>
    </row>
    <row r="1040" spans="1:14" x14ac:dyDescent="0.2">
      <c r="A1040" s="1324"/>
      <c r="B1040" s="67" t="s">
        <v>271</v>
      </c>
      <c r="C1040" s="43">
        <v>50148541</v>
      </c>
      <c r="D1040" s="43">
        <v>360000</v>
      </c>
      <c r="E1040" s="44">
        <v>1</v>
      </c>
      <c r="F1040" s="557">
        <v>116.99299999999999</v>
      </c>
      <c r="G1040" s="557">
        <v>116.99299999999999</v>
      </c>
      <c r="H1040" s="46">
        <f t="shared" si="105"/>
        <v>0</v>
      </c>
      <c r="I1040" s="46">
        <v>881109</v>
      </c>
      <c r="J1040" s="46">
        <v>881109</v>
      </c>
      <c r="K1040" s="194">
        <f>(G1040-F1040)*D1040*E1040</f>
        <v>0</v>
      </c>
    </row>
    <row r="1041" spans="1:12" x14ac:dyDescent="0.2">
      <c r="A1041" s="1324"/>
      <c r="B1041" s="180" t="s">
        <v>8</v>
      </c>
      <c r="C1041" s="43"/>
      <c r="D1041" s="43"/>
      <c r="E1041" s="44"/>
      <c r="F1041" s="496"/>
      <c r="G1041" s="496"/>
      <c r="H1041" s="46"/>
      <c r="I1041" s="46"/>
      <c r="J1041" s="46"/>
      <c r="K1041" s="195">
        <f>K1040+K1039</f>
        <v>0</v>
      </c>
    </row>
    <row r="1042" spans="1:12" x14ac:dyDescent="0.2">
      <c r="A1042" s="1324"/>
      <c r="B1042" s="50" t="s">
        <v>272</v>
      </c>
      <c r="C1042" s="54">
        <v>50147691</v>
      </c>
      <c r="D1042" s="54">
        <v>192000</v>
      </c>
      <c r="E1042" s="55">
        <v>1</v>
      </c>
      <c r="F1042" s="557">
        <v>27.812999999999999</v>
      </c>
      <c r="G1042" s="802">
        <v>27.812999999999999</v>
      </c>
      <c r="H1042" s="57">
        <f t="shared" si="105"/>
        <v>0</v>
      </c>
      <c r="I1042" s="57"/>
      <c r="J1042" s="57"/>
      <c r="K1042" s="202">
        <f>(G1042-F1042)*D1042*E1042</f>
        <v>0</v>
      </c>
    </row>
    <row r="1043" spans="1:12" s="4" customFormat="1" x14ac:dyDescent="0.2">
      <c r="A1043" s="1324"/>
      <c r="B1043" s="61" t="s">
        <v>273</v>
      </c>
      <c r="C1043" s="62"/>
      <c r="D1043" s="62"/>
      <c r="E1043" s="63"/>
      <c r="F1043" s="64"/>
      <c r="G1043" s="64"/>
      <c r="H1043" s="65"/>
      <c r="I1043" s="66"/>
      <c r="J1043" s="66"/>
      <c r="K1043" s="576">
        <f>K1041-K1042</f>
        <v>0</v>
      </c>
      <c r="L1043" s="896">
        <v>1</v>
      </c>
    </row>
    <row r="1044" spans="1:12" x14ac:dyDescent="0.2">
      <c r="A1044" s="1324"/>
      <c r="B1044" s="859" t="s">
        <v>274</v>
      </c>
      <c r="C1044" s="845">
        <v>538406</v>
      </c>
      <c r="D1044" s="845">
        <v>100</v>
      </c>
      <c r="E1044" s="846">
        <v>1</v>
      </c>
      <c r="F1044" s="847">
        <v>158668</v>
      </c>
      <c r="G1044" s="847">
        <v>158668</v>
      </c>
      <c r="H1044" s="848">
        <f t="shared" si="105"/>
        <v>0</v>
      </c>
      <c r="I1044" s="848"/>
      <c r="J1044" s="848"/>
      <c r="K1044" s="849">
        <f>(G1044-F1044)*D1044*E1044</f>
        <v>0</v>
      </c>
    </row>
    <row r="1045" spans="1:12" x14ac:dyDescent="0.2">
      <c r="A1045" s="1324"/>
      <c r="B1045" s="859" t="s">
        <v>275</v>
      </c>
      <c r="C1045" s="845" t="s">
        <v>276</v>
      </c>
      <c r="D1045" s="845">
        <v>1</v>
      </c>
      <c r="E1045" s="846">
        <v>1</v>
      </c>
      <c r="F1045" s="847">
        <v>2352150</v>
      </c>
      <c r="G1045" s="847">
        <v>2352150</v>
      </c>
      <c r="H1045" s="848">
        <f t="shared" si="105"/>
        <v>0</v>
      </c>
      <c r="I1045" s="848"/>
      <c r="J1045" s="848"/>
      <c r="K1045" s="849">
        <f>(G1045-F1045)*D1045*E1045</f>
        <v>0</v>
      </c>
    </row>
    <row r="1046" spans="1:12" x14ac:dyDescent="0.2">
      <c r="A1046" s="1324"/>
      <c r="B1046" s="859" t="s">
        <v>277</v>
      </c>
      <c r="C1046" s="845" t="s">
        <v>276</v>
      </c>
      <c r="D1046" s="845">
        <v>1</v>
      </c>
      <c r="E1046" s="846">
        <v>0.9556</v>
      </c>
      <c r="F1046" s="847">
        <v>3135190</v>
      </c>
      <c r="G1046" s="847">
        <v>3135190</v>
      </c>
      <c r="H1046" s="848">
        <f t="shared" si="105"/>
        <v>0</v>
      </c>
      <c r="I1046" s="848"/>
      <c r="J1046" s="848"/>
      <c r="K1046" s="849">
        <f>(G1046-F1046)*D1046*E1046</f>
        <v>0</v>
      </c>
    </row>
    <row r="1047" spans="1:12" x14ac:dyDescent="0.2">
      <c r="A1047" s="1324"/>
      <c r="B1047" s="858" t="s">
        <v>8</v>
      </c>
      <c r="C1047" s="845"/>
      <c r="D1047" s="845"/>
      <c r="E1047" s="846"/>
      <c r="F1047" s="847"/>
      <c r="G1047" s="847"/>
      <c r="H1047" s="848"/>
      <c r="I1047" s="848"/>
      <c r="J1047" s="848"/>
      <c r="K1047" s="853">
        <f>K1044+K1045+K1046</f>
        <v>0</v>
      </c>
    </row>
    <row r="1048" spans="1:12" x14ac:dyDescent="0.2">
      <c r="A1048" s="1324"/>
      <c r="B1048" s="859" t="s">
        <v>278</v>
      </c>
      <c r="C1048" s="845">
        <v>538412</v>
      </c>
      <c r="D1048" s="845">
        <v>10</v>
      </c>
      <c r="E1048" s="846">
        <v>1</v>
      </c>
      <c r="F1048" s="847">
        <v>952122</v>
      </c>
      <c r="G1048" s="847">
        <v>952122</v>
      </c>
      <c r="H1048" s="848">
        <f t="shared" si="105"/>
        <v>0</v>
      </c>
      <c r="I1048" s="848"/>
      <c r="J1048" s="848"/>
      <c r="K1048" s="849">
        <f>(G1048-F1048)*D1048*E1048</f>
        <v>0</v>
      </c>
    </row>
    <row r="1049" spans="1:12" x14ac:dyDescent="0.2">
      <c r="A1049" s="1324"/>
      <c r="B1049" s="860" t="s">
        <v>52</v>
      </c>
      <c r="C1049" s="845"/>
      <c r="D1049" s="845"/>
      <c r="E1049" s="846"/>
      <c r="F1049" s="847"/>
      <c r="G1049" s="847"/>
      <c r="H1049" s="848"/>
      <c r="I1049" s="848"/>
      <c r="J1049" s="848"/>
      <c r="K1049" s="853">
        <f>K1048</f>
        <v>0</v>
      </c>
    </row>
    <row r="1050" spans="1:12" s="4" customFormat="1" x14ac:dyDescent="0.2">
      <c r="A1050" s="1324"/>
      <c r="B1050" s="860" t="s">
        <v>279</v>
      </c>
      <c r="C1050" s="851"/>
      <c r="D1050" s="851"/>
      <c r="E1050" s="846"/>
      <c r="F1050" s="852"/>
      <c r="G1050" s="852"/>
      <c r="H1050" s="861"/>
      <c r="I1050" s="848"/>
      <c r="J1050" s="848"/>
      <c r="K1050" s="862">
        <f>K1047-K1049</f>
        <v>0</v>
      </c>
      <c r="L1050" s="896"/>
    </row>
    <row r="1051" spans="1:12" x14ac:dyDescent="0.2">
      <c r="A1051" s="1324"/>
      <c r="B1051" s="42" t="s">
        <v>280</v>
      </c>
      <c r="C1051" s="43">
        <v>95799225</v>
      </c>
      <c r="D1051" s="43">
        <v>500</v>
      </c>
      <c r="E1051" s="44">
        <v>1</v>
      </c>
      <c r="F1051" s="558">
        <v>91889.73</v>
      </c>
      <c r="G1051" s="558">
        <v>91889.73</v>
      </c>
      <c r="H1051" s="46">
        <f>G1051-F1051</f>
        <v>0</v>
      </c>
      <c r="I1051" s="46">
        <v>94783.17</v>
      </c>
      <c r="J1051" s="46">
        <v>94783.17</v>
      </c>
      <c r="K1051" s="194">
        <f>(G1051-F1051)*D1051*E1051</f>
        <v>0</v>
      </c>
    </row>
    <row r="1052" spans="1:12" x14ac:dyDescent="0.2">
      <c r="A1052" s="1324"/>
      <c r="B1052" s="42" t="s">
        <v>281</v>
      </c>
      <c r="C1052" s="43">
        <v>95799226</v>
      </c>
      <c r="D1052" s="43">
        <v>500</v>
      </c>
      <c r="E1052" s="44">
        <v>1</v>
      </c>
      <c r="F1052" s="559">
        <v>820654.89</v>
      </c>
      <c r="G1052" s="559">
        <v>820654.89</v>
      </c>
      <c r="H1052" s="46">
        <f>G1052-F1052</f>
        <v>0</v>
      </c>
      <c r="I1052" s="46">
        <v>98242.1</v>
      </c>
      <c r="J1052" s="46">
        <v>98242.1</v>
      </c>
      <c r="K1052" s="194">
        <f>(G1052-F1052)*D1052*E1052</f>
        <v>0</v>
      </c>
    </row>
    <row r="1053" spans="1:12" x14ac:dyDescent="0.2">
      <c r="A1053" s="1324"/>
      <c r="B1053" s="157" t="s">
        <v>374</v>
      </c>
      <c r="C1053" s="181">
        <v>12393392</v>
      </c>
      <c r="D1053" s="181">
        <v>48000</v>
      </c>
      <c r="E1053" s="182">
        <v>1</v>
      </c>
      <c r="F1053" s="560">
        <v>7488.0833249999996</v>
      </c>
      <c r="G1053" s="560">
        <v>7600.1419249999999</v>
      </c>
      <c r="H1053" s="57">
        <f>G1053-F1053</f>
        <v>112.0586000000003</v>
      </c>
      <c r="I1053" s="57"/>
      <c r="J1053" s="57"/>
      <c r="K1053" s="196">
        <f>(G1053-F1053)*D1053*E1053</f>
        <v>5378812.8000000138</v>
      </c>
    </row>
    <row r="1054" spans="1:12" x14ac:dyDescent="0.2">
      <c r="A1054" s="1324"/>
      <c r="B1054" s="174" t="s">
        <v>8</v>
      </c>
      <c r="C1054" s="43"/>
      <c r="D1054" s="43"/>
      <c r="E1054" s="44"/>
      <c r="F1054" s="70"/>
      <c r="G1054" s="70"/>
      <c r="H1054" s="46"/>
      <c r="I1054" s="46"/>
      <c r="J1054" s="46"/>
      <c r="K1054" s="195">
        <f>K1053+K1052+K1051</f>
        <v>5378812.8000000138</v>
      </c>
    </row>
    <row r="1055" spans="1:12" x14ac:dyDescent="0.2">
      <c r="A1055" s="1324"/>
      <c r="B1055" s="42" t="s">
        <v>282</v>
      </c>
      <c r="C1055" s="43">
        <v>95799225</v>
      </c>
      <c r="D1055" s="43">
        <v>500</v>
      </c>
      <c r="E1055" s="44">
        <v>1</v>
      </c>
      <c r="F1055" s="559">
        <v>174.61</v>
      </c>
      <c r="G1055" s="559">
        <v>174.61</v>
      </c>
      <c r="H1055" s="46">
        <f>G1055-F1055</f>
        <v>0</v>
      </c>
      <c r="I1055" s="46">
        <v>33525.9</v>
      </c>
      <c r="J1055" s="46">
        <v>33525.9</v>
      </c>
      <c r="K1055" s="194">
        <f>(G1055-F1055)*D1055*E1055</f>
        <v>0</v>
      </c>
    </row>
    <row r="1056" spans="1:12" x14ac:dyDescent="0.2">
      <c r="A1056" s="1324"/>
      <c r="B1056" s="42" t="s">
        <v>283</v>
      </c>
      <c r="C1056" s="43">
        <v>95799226</v>
      </c>
      <c r="D1056" s="43">
        <v>500</v>
      </c>
      <c r="E1056" s="44">
        <v>1</v>
      </c>
      <c r="F1056" s="561">
        <v>871.76</v>
      </c>
      <c r="G1056" s="561">
        <v>871.76</v>
      </c>
      <c r="H1056" s="46">
        <f>G1056-F1056</f>
        <v>0</v>
      </c>
      <c r="I1056" s="46">
        <v>41241.65</v>
      </c>
      <c r="J1056" s="46">
        <v>41241.65</v>
      </c>
      <c r="K1056" s="194">
        <f>(G1056-F1056)*D1056*E1056</f>
        <v>0</v>
      </c>
    </row>
    <row r="1057" spans="1:12" x14ac:dyDescent="0.2">
      <c r="A1057" s="1324"/>
      <c r="B1057" s="157" t="s">
        <v>375</v>
      </c>
      <c r="C1057" s="181">
        <v>12393392</v>
      </c>
      <c r="D1057" s="181">
        <v>48000</v>
      </c>
      <c r="E1057" s="182">
        <v>1</v>
      </c>
      <c r="F1057" s="562">
        <v>5.6932499999999999</v>
      </c>
      <c r="G1057" s="562">
        <v>5.6932499999999999</v>
      </c>
      <c r="H1057" s="57">
        <f>G1057-F1057</f>
        <v>0</v>
      </c>
      <c r="I1057" s="57"/>
      <c r="J1057" s="57"/>
      <c r="K1057" s="196">
        <f>(G1057-F1057)*D1057*E1057</f>
        <v>0</v>
      </c>
    </row>
    <row r="1058" spans="1:12" x14ac:dyDescent="0.2">
      <c r="A1058" s="1324"/>
      <c r="B1058" s="59" t="s">
        <v>52</v>
      </c>
      <c r="C1058" s="43"/>
      <c r="D1058" s="43"/>
      <c r="E1058" s="44"/>
      <c r="F1058" s="70"/>
      <c r="G1058" s="70"/>
      <c r="H1058" s="46"/>
      <c r="I1058" s="46"/>
      <c r="J1058" s="46"/>
      <c r="K1058" s="195">
        <f>K1057+K1056+K1055</f>
        <v>0</v>
      </c>
    </row>
    <row r="1059" spans="1:12" s="4" customFormat="1" x14ac:dyDescent="0.2">
      <c r="A1059" s="1324"/>
      <c r="B1059" s="61" t="s">
        <v>284</v>
      </c>
      <c r="C1059" s="62"/>
      <c r="D1059" s="62"/>
      <c r="E1059" s="120"/>
      <c r="F1059" s="64"/>
      <c r="G1059" s="64"/>
      <c r="H1059" s="65"/>
      <c r="I1059" s="66"/>
      <c r="J1059" s="66"/>
      <c r="K1059" s="576">
        <f>K1054-K1058</f>
        <v>5378812.8000000138</v>
      </c>
      <c r="L1059" s="896">
        <v>2</v>
      </c>
    </row>
    <row r="1060" spans="1:12" x14ac:dyDescent="0.2">
      <c r="A1060" s="1324"/>
      <c r="B1060" s="183" t="s">
        <v>285</v>
      </c>
      <c r="C1060" s="85">
        <v>12393398</v>
      </c>
      <c r="D1060" s="43">
        <v>480000</v>
      </c>
      <c r="E1060" s="44">
        <v>1</v>
      </c>
      <c r="F1060" s="561">
        <v>504.161</v>
      </c>
      <c r="G1060" s="561">
        <v>504.84</v>
      </c>
      <c r="H1060" s="87">
        <f>G1060-F1060</f>
        <v>0.67899999999997362</v>
      </c>
      <c r="I1060" s="46">
        <v>94.057000000000002</v>
      </c>
      <c r="J1060" s="46">
        <v>525.95600000000002</v>
      </c>
      <c r="K1060" s="494">
        <f>(G1060-F1060)*D1060*E1060</f>
        <v>325919.99999998731</v>
      </c>
    </row>
    <row r="1061" spans="1:12" x14ac:dyDescent="0.2">
      <c r="A1061" s="1324"/>
      <c r="B1061" s="183" t="s">
        <v>286</v>
      </c>
      <c r="C1061" s="85">
        <v>12393398</v>
      </c>
      <c r="D1061" s="43">
        <v>480000</v>
      </c>
      <c r="E1061" s="44">
        <v>1</v>
      </c>
      <c r="F1061" s="561">
        <v>10.951000000000001</v>
      </c>
      <c r="G1061" s="561">
        <v>11.14</v>
      </c>
      <c r="H1061" s="87">
        <f>G1061-F1061</f>
        <v>0.18900000000000006</v>
      </c>
      <c r="I1061" s="46">
        <v>3.1349999999999998</v>
      </c>
      <c r="J1061" s="46">
        <v>6.0650000000000004</v>
      </c>
      <c r="K1061" s="494">
        <f>(G1061-F1061)*D1061*E1061</f>
        <v>90720.000000000029</v>
      </c>
    </row>
    <row r="1062" spans="1:12" s="4" customFormat="1" x14ac:dyDescent="0.2">
      <c r="A1062" s="1324"/>
      <c r="B1062" s="184" t="s">
        <v>287</v>
      </c>
      <c r="C1062" s="62"/>
      <c r="D1062" s="120"/>
      <c r="E1062" s="120"/>
      <c r="F1062" s="190"/>
      <c r="G1062" s="190"/>
      <c r="H1062" s="90"/>
      <c r="I1062" s="66"/>
      <c r="J1062" s="66"/>
      <c r="K1062" s="576">
        <f>K1060-K1061</f>
        <v>235199.99999998728</v>
      </c>
      <c r="L1062" s="896">
        <v>3</v>
      </c>
    </row>
    <row r="1063" spans="1:12" x14ac:dyDescent="0.2">
      <c r="A1063" s="1324"/>
      <c r="B1063" s="183" t="s">
        <v>288</v>
      </c>
      <c r="C1063" s="85">
        <v>12393400</v>
      </c>
      <c r="D1063" s="43">
        <v>960000</v>
      </c>
      <c r="E1063" s="44">
        <v>1</v>
      </c>
      <c r="F1063" s="563">
        <v>326.27300000000002</v>
      </c>
      <c r="G1063" s="563">
        <v>326.45699999999999</v>
      </c>
      <c r="H1063" s="564">
        <f>G1063-F1063</f>
        <v>0.18399999999996908</v>
      </c>
      <c r="I1063" s="46">
        <v>89.348699999999994</v>
      </c>
      <c r="J1063" s="46">
        <v>89.348699999999994</v>
      </c>
      <c r="K1063" s="494">
        <f>H1063*E1063*D1063</f>
        <v>176639.99999997031</v>
      </c>
    </row>
    <row r="1064" spans="1:12" x14ac:dyDescent="0.2">
      <c r="A1064" s="1324"/>
      <c r="B1064" s="183" t="s">
        <v>289</v>
      </c>
      <c r="C1064" s="85">
        <v>12393400</v>
      </c>
      <c r="D1064" s="43">
        <v>960000</v>
      </c>
      <c r="E1064" s="44">
        <v>1</v>
      </c>
      <c r="F1064" s="563">
        <v>7.5010000000000003</v>
      </c>
      <c r="G1064" s="563">
        <v>7.65</v>
      </c>
      <c r="H1064" s="87">
        <f>G1064-F1064</f>
        <v>0.14900000000000002</v>
      </c>
      <c r="I1064" s="46">
        <v>3.6698</v>
      </c>
      <c r="J1064" s="46">
        <v>3.6698</v>
      </c>
      <c r="K1064" s="494">
        <f>H1064*E1064*D1064</f>
        <v>143040.00000000003</v>
      </c>
    </row>
    <row r="1065" spans="1:12" s="4" customFormat="1" x14ac:dyDescent="0.2">
      <c r="A1065" s="1324"/>
      <c r="B1065" s="184" t="s">
        <v>290</v>
      </c>
      <c r="C1065" s="62"/>
      <c r="D1065" s="120"/>
      <c r="E1065" s="120"/>
      <c r="F1065" s="121"/>
      <c r="G1065" s="121"/>
      <c r="H1065" s="65"/>
      <c r="I1065" s="66"/>
      <c r="J1065" s="66"/>
      <c r="K1065" s="576">
        <f>K1063-K1064</f>
        <v>33599.999999970285</v>
      </c>
      <c r="L1065" s="896">
        <v>4</v>
      </c>
    </row>
    <row r="1066" spans="1:12" x14ac:dyDescent="0.2">
      <c r="A1066" s="1324"/>
      <c r="B1066" s="185" t="s">
        <v>440</v>
      </c>
      <c r="C1066" s="78">
        <v>98800042</v>
      </c>
      <c r="D1066" s="54">
        <v>627272.72</v>
      </c>
      <c r="E1066" s="55">
        <v>1</v>
      </c>
      <c r="F1066" s="565">
        <v>4396.1869999999999</v>
      </c>
      <c r="G1066" s="565">
        <v>4454.7030000000004</v>
      </c>
      <c r="H1066" s="187">
        <f>G1066-F1066</f>
        <v>58.516000000000531</v>
      </c>
      <c r="I1066" s="81"/>
      <c r="J1066" s="81"/>
      <c r="K1066" s="198">
        <f>H1066*E1066*D1066</f>
        <v>36705490.483520329</v>
      </c>
    </row>
    <row r="1067" spans="1:12" x14ac:dyDescent="0.2">
      <c r="A1067" s="1324"/>
      <c r="B1067" s="185" t="s">
        <v>441</v>
      </c>
      <c r="C1067" s="78">
        <v>98800045</v>
      </c>
      <c r="D1067" s="54">
        <v>627272.72</v>
      </c>
      <c r="E1067" s="55">
        <v>1</v>
      </c>
      <c r="F1067" s="565">
        <v>3393.38</v>
      </c>
      <c r="G1067" s="565">
        <v>3451.0439999999999</v>
      </c>
      <c r="H1067" s="187">
        <f t="shared" ref="H1067:H1074" si="106">G1067-F1067</f>
        <v>57.66399999999976</v>
      </c>
      <c r="I1067" s="81"/>
      <c r="J1067" s="81"/>
      <c r="K1067" s="198">
        <f>H1067*E1067*D1067</f>
        <v>36171054.12607985</v>
      </c>
    </row>
    <row r="1068" spans="1:12" x14ac:dyDescent="0.2">
      <c r="A1068" s="1324"/>
      <c r="B1068" s="185" t="s">
        <v>442</v>
      </c>
      <c r="C1068" s="78">
        <v>98800044</v>
      </c>
      <c r="D1068" s="54">
        <v>627272.72</v>
      </c>
      <c r="E1068" s="55">
        <v>1</v>
      </c>
      <c r="F1068" s="566">
        <v>1622.4659999999999</v>
      </c>
      <c r="G1068" s="566">
        <v>1622.4659999999999</v>
      </c>
      <c r="H1068" s="187">
        <f t="shared" si="106"/>
        <v>0</v>
      </c>
      <c r="I1068" s="81"/>
      <c r="J1068" s="81"/>
      <c r="K1068" s="198">
        <f>H1068*E1068*D1068</f>
        <v>0</v>
      </c>
    </row>
    <row r="1069" spans="1:12" x14ac:dyDescent="0.2">
      <c r="A1069" s="1324"/>
      <c r="B1069" s="185"/>
      <c r="C1069" s="78"/>
      <c r="D1069" s="54"/>
      <c r="E1069" s="55"/>
      <c r="F1069" s="2"/>
      <c r="H1069" s="187"/>
      <c r="I1069" s="81"/>
      <c r="J1069" s="81"/>
      <c r="K1069" s="202">
        <f>K1066+K1067+K1068</f>
        <v>72876544.609600186</v>
      </c>
    </row>
    <row r="1070" spans="1:12" x14ac:dyDescent="0.2">
      <c r="A1070" s="1324"/>
      <c r="B1070" s="185" t="s">
        <v>443</v>
      </c>
      <c r="C1070" s="78">
        <v>98800042</v>
      </c>
      <c r="D1070" s="54">
        <v>627272.72</v>
      </c>
      <c r="E1070" s="55">
        <v>1</v>
      </c>
      <c r="F1070" s="567">
        <v>36.015999999999998</v>
      </c>
      <c r="G1070" s="705">
        <v>36.173999999999999</v>
      </c>
      <c r="H1070" s="187">
        <f t="shared" si="106"/>
        <v>0.15800000000000125</v>
      </c>
      <c r="I1070" s="81"/>
      <c r="J1070" s="81"/>
      <c r="K1070" s="198">
        <f>H1070*E1070*D1070</f>
        <v>99109.089760000774</v>
      </c>
    </row>
    <row r="1071" spans="1:12" x14ac:dyDescent="0.2">
      <c r="A1071" s="1324"/>
      <c r="B1071" s="185" t="s">
        <v>444</v>
      </c>
      <c r="C1071" s="78">
        <v>98800045</v>
      </c>
      <c r="D1071" s="54">
        <v>627272.72</v>
      </c>
      <c r="E1071" s="55">
        <v>1</v>
      </c>
      <c r="F1071" s="567">
        <v>98.141999999999996</v>
      </c>
      <c r="G1071" s="567">
        <v>98.296999999999997</v>
      </c>
      <c r="H1071" s="187">
        <f t="shared" si="106"/>
        <v>0.15500000000000114</v>
      </c>
      <c r="I1071" s="81"/>
      <c r="J1071" s="81"/>
      <c r="K1071" s="198">
        <f>H1071*E1071*D1071</f>
        <v>97227.271600000706</v>
      </c>
    </row>
    <row r="1072" spans="1:12" x14ac:dyDescent="0.2">
      <c r="A1072" s="1324"/>
      <c r="B1072" s="185" t="s">
        <v>445</v>
      </c>
      <c r="C1072" s="78">
        <v>98800044</v>
      </c>
      <c r="D1072" s="54">
        <v>627272.72</v>
      </c>
      <c r="E1072" s="55">
        <v>1</v>
      </c>
      <c r="F1072" s="705">
        <v>2.0129999999999999</v>
      </c>
      <c r="G1072" s="705">
        <v>2.0840000000000001</v>
      </c>
      <c r="H1072" s="187">
        <f t="shared" si="106"/>
        <v>7.1000000000000174E-2</v>
      </c>
      <c r="I1072" s="81"/>
      <c r="J1072" s="81"/>
      <c r="K1072" s="198">
        <f>H1072*E1072*D1072</f>
        <v>44536.363120000104</v>
      </c>
    </row>
    <row r="1073" spans="1:12" x14ac:dyDescent="0.2">
      <c r="A1073" s="1324"/>
      <c r="B1073" s="185" t="s">
        <v>433</v>
      </c>
      <c r="C1073" s="78"/>
      <c r="D1073" s="54">
        <v>75000</v>
      </c>
      <c r="E1073" s="55">
        <v>1</v>
      </c>
      <c r="F1073" s="82">
        <v>18.126999999999999</v>
      </c>
      <c r="G1073" s="82">
        <v>18.126999999999999</v>
      </c>
      <c r="H1073" s="187">
        <f t="shared" si="106"/>
        <v>0</v>
      </c>
      <c r="I1073" s="81"/>
      <c r="J1073" s="81"/>
      <c r="K1073" s="198">
        <f>H1073*E1073*D1073</f>
        <v>0</v>
      </c>
    </row>
    <row r="1074" spans="1:12" x14ac:dyDescent="0.2">
      <c r="A1074" s="1324"/>
      <c r="B1074" s="185" t="s">
        <v>434</v>
      </c>
      <c r="C1074" s="78"/>
      <c r="D1074" s="54">
        <v>75000</v>
      </c>
      <c r="E1074" s="55">
        <v>1</v>
      </c>
      <c r="F1074" s="82">
        <v>10.781000000000001</v>
      </c>
      <c r="G1074" s="82">
        <v>10.781000000000001</v>
      </c>
      <c r="H1074" s="187">
        <f t="shared" si="106"/>
        <v>0</v>
      </c>
      <c r="I1074" s="81"/>
      <c r="J1074" s="81"/>
      <c r="K1074" s="198">
        <f>H1074*E1074*D1074</f>
        <v>0</v>
      </c>
    </row>
    <row r="1075" spans="1:12" x14ac:dyDescent="0.2">
      <c r="A1075" s="1324"/>
      <c r="B1075" s="185" t="s">
        <v>435</v>
      </c>
      <c r="C1075" s="78"/>
      <c r="D1075" s="54"/>
      <c r="E1075" s="55"/>
      <c r="F1075" s="477"/>
      <c r="G1075" s="186"/>
      <c r="H1075" s="187"/>
      <c r="I1075" s="81"/>
      <c r="J1075" s="81"/>
      <c r="K1075" s="202">
        <f>K1071+K1072+K1073+K1074+K1070</f>
        <v>240872.72448000161</v>
      </c>
    </row>
    <row r="1076" spans="1:12" s="20" customFormat="1" x14ac:dyDescent="0.2">
      <c r="A1076" s="1324"/>
      <c r="B1076" s="188" t="s">
        <v>435</v>
      </c>
      <c r="C1076" s="109"/>
      <c r="D1076" s="189"/>
      <c r="E1076" s="189"/>
      <c r="F1076" s="190"/>
      <c r="G1076" s="190"/>
      <c r="H1076" s="65"/>
      <c r="I1076" s="66"/>
      <c r="J1076" s="66"/>
      <c r="K1076" s="576">
        <f>K1069-K1075</f>
        <v>72635671.885120183</v>
      </c>
      <c r="L1076" s="896">
        <v>5</v>
      </c>
    </row>
    <row r="1077" spans="1:12" x14ac:dyDescent="0.2">
      <c r="A1077" s="1324"/>
      <c r="B1077" s="185" t="s">
        <v>461</v>
      </c>
      <c r="C1077" s="78">
        <v>51320140</v>
      </c>
      <c r="D1077" s="54">
        <v>960000</v>
      </c>
      <c r="E1077" s="386">
        <v>1</v>
      </c>
      <c r="F1077" s="568">
        <v>27.574000000000002</v>
      </c>
      <c r="G1077" s="537">
        <v>27.864699999999999</v>
      </c>
      <c r="H1077" s="81">
        <f>G1077-F1077</f>
        <v>0.29069999999999752</v>
      </c>
      <c r="I1077" s="57"/>
      <c r="J1077" s="57"/>
      <c r="K1077" s="198">
        <f>H1077*E1077*D1077</f>
        <v>279071.99999999761</v>
      </c>
    </row>
    <row r="1078" spans="1:12" x14ac:dyDescent="0.2">
      <c r="A1078" s="1324"/>
      <c r="B1078" s="185" t="s">
        <v>462</v>
      </c>
      <c r="C1078" s="78">
        <v>51320140</v>
      </c>
      <c r="D1078" s="54">
        <v>960000</v>
      </c>
      <c r="E1078" s="386">
        <v>1</v>
      </c>
      <c r="F1078" s="568">
        <v>2420.1776</v>
      </c>
      <c r="G1078" s="951">
        <v>2420.3852000000002</v>
      </c>
      <c r="H1078" s="81">
        <f>G1078-F1078</f>
        <v>0.20760000000018408</v>
      </c>
      <c r="I1078" s="57"/>
      <c r="J1078" s="57"/>
      <c r="K1078" s="198">
        <f>H1078*E1078*D1078</f>
        <v>199296.00000017672</v>
      </c>
    </row>
    <row r="1079" spans="1:12" x14ac:dyDescent="0.2">
      <c r="A1079" s="1324"/>
      <c r="B1079" s="188" t="s">
        <v>463</v>
      </c>
      <c r="C1079" s="62"/>
      <c r="D1079" s="189"/>
      <c r="E1079" s="387"/>
      <c r="F1079" s="190"/>
      <c r="G1079" s="190"/>
      <c r="H1079" s="65"/>
      <c r="I1079" s="66"/>
      <c r="J1079" s="66"/>
      <c r="K1079" s="576">
        <f>K1077-K1078</f>
        <v>79775.999999820895</v>
      </c>
      <c r="L1079" s="896">
        <v>6</v>
      </c>
    </row>
    <row r="1080" spans="1:12" s="967" customFormat="1" x14ac:dyDescent="0.2">
      <c r="A1080" s="1324"/>
      <c r="B1080" s="962" t="s">
        <v>625</v>
      </c>
      <c r="C1080" s="1306">
        <v>216742475</v>
      </c>
      <c r="D1080" s="845">
        <v>836363.63600000006</v>
      </c>
      <c r="E1080" s="963">
        <v>1</v>
      </c>
      <c r="F1080" s="964">
        <v>2240151.2400000002</v>
      </c>
      <c r="G1080" s="964">
        <v>2240151.2400000002</v>
      </c>
      <c r="H1080" s="965">
        <f>G1080-F1080</f>
        <v>0</v>
      </c>
      <c r="I1080" s="848"/>
      <c r="J1080" s="848"/>
      <c r="K1080" s="849">
        <f>H1080*E1080*D1080/1000</f>
        <v>0</v>
      </c>
      <c r="L1080" s="966"/>
    </row>
    <row r="1081" spans="1:12" s="967" customFormat="1" x14ac:dyDescent="0.2">
      <c r="A1081" s="1324"/>
      <c r="B1081" s="962" t="s">
        <v>626</v>
      </c>
      <c r="C1081" s="1307"/>
      <c r="D1081" s="845">
        <v>836363.63600000006</v>
      </c>
      <c r="E1081" s="963">
        <v>1</v>
      </c>
      <c r="F1081" s="968">
        <v>793.88</v>
      </c>
      <c r="G1081" s="968">
        <v>793.88</v>
      </c>
      <c r="H1081" s="965">
        <f>G1081-F1081</f>
        <v>0</v>
      </c>
      <c r="I1081" s="848"/>
      <c r="J1081" s="848"/>
      <c r="K1081" s="849">
        <f>H1081*E1081*D1081/1000</f>
        <v>0</v>
      </c>
      <c r="L1081" s="966"/>
    </row>
    <row r="1082" spans="1:12" s="967" customFormat="1" x14ac:dyDescent="0.2">
      <c r="A1082" s="1324"/>
      <c r="B1082" s="860" t="s">
        <v>624</v>
      </c>
      <c r="C1082" s="969"/>
      <c r="D1082" s="970"/>
      <c r="E1082" s="971"/>
      <c r="F1082" s="852"/>
      <c r="G1082" s="852"/>
      <c r="H1082" s="861"/>
      <c r="I1082" s="848"/>
      <c r="J1082" s="848"/>
      <c r="K1082" s="862">
        <f>K1080-K1081</f>
        <v>0</v>
      </c>
      <c r="L1082" s="966"/>
    </row>
    <row r="1083" spans="1:12" x14ac:dyDescent="0.2">
      <c r="A1083" s="1324"/>
      <c r="B1083" s="157" t="s">
        <v>1168</v>
      </c>
      <c r="C1083" s="645" t="s">
        <v>1169</v>
      </c>
      <c r="D1083" s="271">
        <v>14545454.550000001</v>
      </c>
      <c r="E1083" s="646">
        <v>1</v>
      </c>
      <c r="F1083" s="521">
        <v>5.2380000000000005E-4</v>
      </c>
      <c r="G1083" s="521">
        <v>5.2380000000000005E-4</v>
      </c>
      <c r="H1083" s="82">
        <f>G1083-F1083</f>
        <v>0</v>
      </c>
      <c r="I1083" s="57"/>
      <c r="J1083" s="57"/>
      <c r="K1083" s="612">
        <f>H1083*E1083*D1083*0</f>
        <v>0</v>
      </c>
    </row>
    <row r="1084" spans="1:12" x14ac:dyDescent="0.2">
      <c r="A1084" s="1324"/>
      <c r="B1084" s="157" t="s">
        <v>1170</v>
      </c>
      <c r="C1084" s="645" t="s">
        <v>1171</v>
      </c>
      <c r="D1084" s="271">
        <v>7272727.273</v>
      </c>
      <c r="E1084" s="646">
        <v>1</v>
      </c>
      <c r="F1084" s="521">
        <v>1.9065E-3</v>
      </c>
      <c r="G1084" s="521">
        <v>2.4754E-3</v>
      </c>
      <c r="H1084" s="82">
        <f t="shared" ref="H1084:H1098" si="107">G1084-F1084</f>
        <v>5.689E-4</v>
      </c>
      <c r="I1084" s="57"/>
      <c r="J1084" s="57"/>
      <c r="K1084" s="612">
        <f>H1084*E1084*D1084*0</f>
        <v>0</v>
      </c>
    </row>
    <row r="1085" spans="1:12" x14ac:dyDescent="0.2">
      <c r="A1085" s="1324"/>
      <c r="B1085" s="157" t="s">
        <v>1172</v>
      </c>
      <c r="C1085" s="645" t="s">
        <v>1169</v>
      </c>
      <c r="D1085" s="271">
        <v>14545454.550000001</v>
      </c>
      <c r="E1085" s="646">
        <v>1</v>
      </c>
      <c r="F1085" s="521">
        <v>1080.6677623</v>
      </c>
      <c r="G1085" s="521">
        <v>1104.501681</v>
      </c>
      <c r="H1085" s="81">
        <f t="shared" si="107"/>
        <v>23.833918699999913</v>
      </c>
      <c r="I1085" s="57"/>
      <c r="J1085" s="57"/>
      <c r="K1085" s="612">
        <f t="shared" ref="K1085:K1088" si="108">H1085*E1085*D1085</f>
        <v>346675181.19924384</v>
      </c>
    </row>
    <row r="1086" spans="1:12" x14ac:dyDescent="0.2">
      <c r="A1086" s="1324"/>
      <c r="B1086" s="157" t="s">
        <v>1173</v>
      </c>
      <c r="C1086" s="645" t="s">
        <v>1171</v>
      </c>
      <c r="D1086" s="271">
        <v>7272727.273</v>
      </c>
      <c r="E1086" s="646">
        <v>1</v>
      </c>
      <c r="F1086" s="521">
        <v>16.8147555</v>
      </c>
      <c r="G1086" s="521">
        <v>16.816047600000001</v>
      </c>
      <c r="H1086" s="81">
        <f t="shared" si="107"/>
        <v>1.2921000000005733E-3</v>
      </c>
      <c r="I1086" s="57"/>
      <c r="J1086" s="57"/>
      <c r="K1086" s="612">
        <f t="shared" si="108"/>
        <v>9397.09090944747</v>
      </c>
    </row>
    <row r="1087" spans="1:12" x14ac:dyDescent="0.2">
      <c r="A1087" s="1324"/>
      <c r="B1087" s="157" t="s">
        <v>1212</v>
      </c>
      <c r="C1087" s="645"/>
      <c r="D1087" s="271">
        <v>14545454.550000001</v>
      </c>
      <c r="E1087" s="646">
        <v>1</v>
      </c>
      <c r="F1087" s="521">
        <v>2.1999999999999999E-5</v>
      </c>
      <c r="G1087" s="521">
        <v>2.1999999999999999E-5</v>
      </c>
      <c r="H1087" s="81">
        <f t="shared" si="107"/>
        <v>0</v>
      </c>
      <c r="I1087" s="57"/>
      <c r="J1087" s="57"/>
      <c r="K1087" s="612">
        <f>H1087*E1087*D1087*0</f>
        <v>0</v>
      </c>
    </row>
    <row r="1088" spans="1:12" x14ac:dyDescent="0.2">
      <c r="A1088" s="1324"/>
      <c r="B1088" s="157" t="s">
        <v>1213</v>
      </c>
      <c r="C1088" s="645"/>
      <c r="D1088" s="271">
        <v>14545454.550000001</v>
      </c>
      <c r="E1088" s="646">
        <v>1</v>
      </c>
      <c r="F1088" s="521">
        <v>994.75765430000001</v>
      </c>
      <c r="G1088" s="521">
        <v>1018.3643338000001</v>
      </c>
      <c r="H1088" s="81">
        <f t="shared" si="107"/>
        <v>23.606679500000041</v>
      </c>
      <c r="I1088" s="57"/>
      <c r="J1088" s="57"/>
      <c r="K1088" s="612">
        <f t="shared" si="108"/>
        <v>343369883.74366736</v>
      </c>
    </row>
    <row r="1089" spans="1:12" x14ac:dyDescent="0.2">
      <c r="A1089" s="1324"/>
      <c r="B1089" s="61" t="s">
        <v>1177</v>
      </c>
      <c r="C1089" s="708"/>
      <c r="D1089" s="389"/>
      <c r="E1089" s="390"/>
      <c r="F1089" s="64"/>
      <c r="G1089" s="64"/>
      <c r="H1089" s="65"/>
      <c r="I1089" s="66"/>
      <c r="J1089" s="66"/>
      <c r="K1089" s="576">
        <f>K1084-K1086+K1085-K1083+K1088-K1087</f>
        <v>690035667.85200179</v>
      </c>
    </row>
    <row r="1090" spans="1:12" x14ac:dyDescent="0.2">
      <c r="A1090" s="1324"/>
      <c r="B1090" s="157" t="s">
        <v>1174</v>
      </c>
      <c r="C1090" s="645" t="s">
        <v>1175</v>
      </c>
      <c r="D1090" s="271">
        <v>360000</v>
      </c>
      <c r="E1090" s="271">
        <v>1</v>
      </c>
      <c r="F1090" s="80">
        <v>55.32</v>
      </c>
      <c r="G1090" s="80">
        <v>55.32</v>
      </c>
      <c r="H1090" s="81">
        <f t="shared" si="107"/>
        <v>0</v>
      </c>
      <c r="I1090" s="57"/>
      <c r="J1090" s="57"/>
      <c r="K1090" s="612">
        <f>H1090*E1090*D1090</f>
        <v>0</v>
      </c>
    </row>
    <row r="1091" spans="1:12" x14ac:dyDescent="0.2">
      <c r="A1091" s="1324"/>
      <c r="B1091" s="157" t="s">
        <v>1176</v>
      </c>
      <c r="C1091" s="645" t="s">
        <v>1175</v>
      </c>
      <c r="D1091" s="271">
        <v>360000</v>
      </c>
      <c r="E1091" s="271">
        <v>1</v>
      </c>
      <c r="F1091" s="80">
        <v>0</v>
      </c>
      <c r="G1091" s="80">
        <v>0</v>
      </c>
      <c r="H1091" s="81">
        <f t="shared" si="107"/>
        <v>0</v>
      </c>
      <c r="I1091" s="57"/>
      <c r="J1091" s="57"/>
      <c r="K1091" s="612">
        <v>0</v>
      </c>
    </row>
    <row r="1092" spans="1:12" x14ac:dyDescent="0.2">
      <c r="A1092" s="1324"/>
      <c r="B1092" s="61" t="s">
        <v>1178</v>
      </c>
      <c r="C1092" s="708"/>
      <c r="D1092" s="389"/>
      <c r="E1092" s="390"/>
      <c r="F1092" s="64"/>
      <c r="G1092" s="64"/>
      <c r="H1092" s="65"/>
      <c r="I1092" s="66"/>
      <c r="J1092" s="66"/>
      <c r="K1092" s="576">
        <f>K1089+K1091-K1090</f>
        <v>690035667.85200179</v>
      </c>
      <c r="L1092" s="896">
        <v>7</v>
      </c>
    </row>
    <row r="1093" spans="1:12" x14ac:dyDescent="0.2">
      <c r="A1093" s="1324"/>
      <c r="B1093" s="157" t="s">
        <v>1200</v>
      </c>
      <c r="C1093" s="645" t="s">
        <v>1201</v>
      </c>
      <c r="D1093" s="271">
        <v>627272.72</v>
      </c>
      <c r="E1093" s="271">
        <v>1</v>
      </c>
      <c r="F1093" s="521">
        <v>3286.59319</v>
      </c>
      <c r="G1093" s="521">
        <v>3364.0189500000001</v>
      </c>
      <c r="H1093" s="81">
        <f t="shared" si="107"/>
        <v>77.425760000000082</v>
      </c>
      <c r="I1093" s="57"/>
      <c r="J1093" s="57"/>
      <c r="K1093" s="198">
        <f t="shared" ref="K1093:K1098" si="109">H1093*E1093*D1093</f>
        <v>48567067.073267251</v>
      </c>
    </row>
    <row r="1094" spans="1:12" x14ac:dyDescent="0.2">
      <c r="A1094" s="1324"/>
      <c r="B1094" s="157" t="s">
        <v>1238</v>
      </c>
      <c r="C1094" s="645" t="s">
        <v>1201</v>
      </c>
      <c r="D1094" s="271">
        <v>627272.72</v>
      </c>
      <c r="E1094" s="271">
        <v>1</v>
      </c>
      <c r="F1094" s="521">
        <v>8.2317099999999996</v>
      </c>
      <c r="G1094" s="521">
        <v>8.2355</v>
      </c>
      <c r="H1094" s="81">
        <f t="shared" si="107"/>
        <v>3.7900000000004042E-3</v>
      </c>
      <c r="I1094" s="57"/>
      <c r="J1094" s="57"/>
      <c r="K1094" s="198">
        <f t="shared" si="109"/>
        <v>2377.3636088002536</v>
      </c>
    </row>
    <row r="1095" spans="1:12" x14ac:dyDescent="0.2">
      <c r="A1095" s="1324"/>
      <c r="B1095" s="157" t="s">
        <v>1239</v>
      </c>
      <c r="C1095" s="645" t="s">
        <v>1241</v>
      </c>
      <c r="D1095" s="271">
        <v>627272.72</v>
      </c>
      <c r="E1095" s="271">
        <v>1</v>
      </c>
      <c r="F1095" s="761">
        <v>3315.2793499999998</v>
      </c>
      <c r="G1095" s="761">
        <v>3394.4920999999999</v>
      </c>
      <c r="H1095" s="81">
        <f t="shared" si="107"/>
        <v>79.212750000000142</v>
      </c>
      <c r="I1095" s="57"/>
      <c r="J1095" s="57"/>
      <c r="K1095" s="198">
        <f t="shared" si="109"/>
        <v>49687997.151180089</v>
      </c>
    </row>
    <row r="1096" spans="1:12" x14ac:dyDescent="0.2">
      <c r="A1096" s="1324"/>
      <c r="B1096" s="157" t="s">
        <v>1240</v>
      </c>
      <c r="C1096" s="645" t="s">
        <v>1241</v>
      </c>
      <c r="D1096" s="271">
        <v>627272.72</v>
      </c>
      <c r="E1096" s="271">
        <v>1</v>
      </c>
      <c r="F1096" s="761">
        <v>9.1199300000000001</v>
      </c>
      <c r="G1096" s="761">
        <v>9.1578599999999994</v>
      </c>
      <c r="H1096" s="81">
        <f t="shared" si="107"/>
        <v>3.7929999999999353E-2</v>
      </c>
      <c r="I1096" s="57"/>
      <c r="J1096" s="57"/>
      <c r="K1096" s="198">
        <f t="shared" si="109"/>
        <v>23792.454269599591</v>
      </c>
    </row>
    <row r="1097" spans="1:12" x14ac:dyDescent="0.2">
      <c r="A1097" s="1324"/>
      <c r="B1097" s="157" t="s">
        <v>1242</v>
      </c>
      <c r="C1097" s="645" t="s">
        <v>1524</v>
      </c>
      <c r="D1097" s="271">
        <v>627272.72</v>
      </c>
      <c r="E1097" s="271">
        <v>1</v>
      </c>
      <c r="F1097" s="521">
        <v>3651.9514100000001</v>
      </c>
      <c r="G1097" s="525">
        <v>3738.2082</v>
      </c>
      <c r="H1097" s="81">
        <f t="shared" si="107"/>
        <v>86.25678999999991</v>
      </c>
      <c r="I1097" s="57"/>
      <c r="J1097" s="57"/>
      <c r="K1097" s="198">
        <f t="shared" si="109"/>
        <v>54106531.281768739</v>
      </c>
      <c r="L1097" s="1085"/>
    </row>
    <row r="1098" spans="1:12" x14ac:dyDescent="0.2">
      <c r="A1098" s="1324"/>
      <c r="B1098" s="157" t="s">
        <v>1243</v>
      </c>
      <c r="C1098" s="645" t="s">
        <v>1524</v>
      </c>
      <c r="D1098" s="271">
        <v>627272.72</v>
      </c>
      <c r="E1098" s="271">
        <v>1</v>
      </c>
      <c r="F1098" s="553">
        <v>7.1900000000000002E-3</v>
      </c>
      <c r="G1098" s="521">
        <v>7.1900000000000002E-3</v>
      </c>
      <c r="H1098" s="81">
        <f t="shared" si="107"/>
        <v>0</v>
      </c>
      <c r="I1098" s="57"/>
      <c r="J1098" s="57"/>
      <c r="K1098" s="198">
        <f t="shared" si="109"/>
        <v>0</v>
      </c>
    </row>
    <row r="1099" spans="1:12" x14ac:dyDescent="0.2">
      <c r="A1099" s="1324"/>
      <c r="B1099" s="50" t="s">
        <v>578</v>
      </c>
      <c r="C1099" s="645"/>
      <c r="D1099" s="271"/>
      <c r="E1099" s="271"/>
      <c r="F1099" s="521"/>
      <c r="G1099" s="521"/>
      <c r="H1099" s="81"/>
      <c r="I1099" s="57"/>
      <c r="J1099" s="57"/>
      <c r="K1099" s="611">
        <f>K1093+K1095+K1097</f>
        <v>152361595.50621608</v>
      </c>
    </row>
    <row r="1100" spans="1:12" x14ac:dyDescent="0.2">
      <c r="A1100" s="1324"/>
      <c r="B1100" s="50" t="s">
        <v>409</v>
      </c>
      <c r="C1100" s="645"/>
      <c r="D1100" s="271"/>
      <c r="E1100" s="271"/>
      <c r="F1100" s="521"/>
      <c r="G1100" s="521"/>
      <c r="H1100" s="81"/>
      <c r="I1100" s="57"/>
      <c r="J1100" s="57"/>
      <c r="K1100" s="611">
        <f>K1094+K1096+K1098</f>
        <v>26169.817878399845</v>
      </c>
    </row>
    <row r="1101" spans="1:12" x14ac:dyDescent="0.2">
      <c r="A1101" s="1324"/>
      <c r="B1101" s="61" t="s">
        <v>1202</v>
      </c>
      <c r="C1101" s="388"/>
      <c r="D1101" s="709"/>
      <c r="E1101" s="709"/>
      <c r="F1101" s="111"/>
      <c r="G1101" s="111"/>
      <c r="H1101" s="112"/>
      <c r="I1101" s="66"/>
      <c r="J1101" s="66"/>
      <c r="K1101" s="576">
        <f>K1099-K1100</f>
        <v>152335425.68833768</v>
      </c>
      <c r="L1101" s="896">
        <v>8</v>
      </c>
    </row>
    <row r="1102" spans="1:12" x14ac:dyDescent="0.2">
      <c r="A1102" s="1324"/>
      <c r="B1102" s="157" t="s">
        <v>1274</v>
      </c>
      <c r="C1102" s="645">
        <v>56445019</v>
      </c>
      <c r="D1102" s="271">
        <v>1200000</v>
      </c>
      <c r="E1102" s="271">
        <v>1</v>
      </c>
      <c r="F1102" s="521">
        <v>5.1847700000000003</v>
      </c>
      <c r="G1102" s="521">
        <v>5.3194699999999999</v>
      </c>
      <c r="H1102" s="81">
        <f>G1102-F1102</f>
        <v>0.1346999999999996</v>
      </c>
      <c r="I1102" s="57"/>
      <c r="J1102" s="57"/>
      <c r="K1102" s="198">
        <f>H1102*E1102*D1102</f>
        <v>161639.99999999951</v>
      </c>
    </row>
    <row r="1103" spans="1:12" x14ac:dyDescent="0.2">
      <c r="A1103" s="1324"/>
      <c r="B1103" s="157" t="s">
        <v>1275</v>
      </c>
      <c r="C1103" s="645">
        <v>56445019</v>
      </c>
      <c r="D1103" s="271">
        <v>1200000</v>
      </c>
      <c r="E1103" s="271">
        <v>1</v>
      </c>
      <c r="F1103" s="521">
        <v>448.48379999999997</v>
      </c>
      <c r="G1103" s="521">
        <v>450.28309999999999</v>
      </c>
      <c r="H1103" s="81">
        <f>G1103-F1103</f>
        <v>1.7993000000000166</v>
      </c>
      <c r="I1103" s="57"/>
      <c r="J1103" s="57"/>
      <c r="K1103" s="198">
        <f>H1103*E1103*D1103</f>
        <v>2159160.00000002</v>
      </c>
    </row>
    <row r="1104" spans="1:12" x14ac:dyDescent="0.2">
      <c r="A1104" s="1324"/>
      <c r="B1104" s="61" t="s">
        <v>1646</v>
      </c>
      <c r="C1104" s="388"/>
      <c r="D1104" s="709"/>
      <c r="E1104" s="709"/>
      <c r="F1104" s="111"/>
      <c r="G1104" s="111"/>
      <c r="H1104" s="112"/>
      <c r="I1104" s="66"/>
      <c r="J1104" s="66"/>
      <c r="K1104" s="576">
        <f>K1103-K1102</f>
        <v>1997520.0000000205</v>
      </c>
      <c r="L1104" s="896">
        <v>9</v>
      </c>
    </row>
    <row r="1105" spans="1:12" x14ac:dyDescent="0.2">
      <c r="A1105" s="1324"/>
      <c r="B1105" s="92" t="s">
        <v>1611</v>
      </c>
      <c r="C1105" s="271" t="s">
        <v>1465</v>
      </c>
      <c r="D1105" s="271">
        <v>2181818.1800000002</v>
      </c>
      <c r="E1105" s="271">
        <v>1</v>
      </c>
      <c r="F1105" s="80">
        <v>15.49733728</v>
      </c>
      <c r="G1105" s="80">
        <v>15.851302159999999</v>
      </c>
      <c r="H1105" s="81">
        <f>G1105-F1105</f>
        <v>0.35396487999999948</v>
      </c>
      <c r="I1105" s="57"/>
      <c r="J1105" s="57"/>
      <c r="K1105" s="198">
        <f>H1105*E1105*D1105</f>
        <v>772287.01026551728</v>
      </c>
    </row>
    <row r="1106" spans="1:12" x14ac:dyDescent="0.2">
      <c r="A1106" s="1324"/>
      <c r="B1106" s="92" t="s">
        <v>1612</v>
      </c>
      <c r="C1106" s="271" t="s">
        <v>1465</v>
      </c>
      <c r="D1106" s="271">
        <v>2181818.1800000002</v>
      </c>
      <c r="E1106" s="271">
        <v>1</v>
      </c>
      <c r="F1106" s="80">
        <v>1661.051172</v>
      </c>
      <c r="G1106" s="80">
        <v>1719.2264439999999</v>
      </c>
      <c r="H1106" s="81">
        <f>G1106-F1106</f>
        <v>58.17527199999995</v>
      </c>
      <c r="I1106" s="57"/>
      <c r="J1106" s="57"/>
      <c r="K1106" s="198">
        <f>H1106*E1106*D1106</f>
        <v>126927866.07604486</v>
      </c>
    </row>
    <row r="1107" spans="1:12" x14ac:dyDescent="0.2">
      <c r="A1107" s="1324"/>
      <c r="B1107" s="61" t="s">
        <v>1466</v>
      </c>
      <c r="C1107" s="388"/>
      <c r="D1107" s="709"/>
      <c r="E1107" s="709"/>
      <c r="F1107" s="111"/>
      <c r="G1107" s="111"/>
      <c r="H1107" s="112"/>
      <c r="I1107" s="66"/>
      <c r="J1107" s="66"/>
      <c r="K1107" s="576">
        <f>K1106-K1105</f>
        <v>126155579.06577934</v>
      </c>
      <c r="L1107" s="896">
        <v>10</v>
      </c>
    </row>
    <row r="1108" spans="1:12" x14ac:dyDescent="0.2">
      <c r="A1108" s="1324"/>
      <c r="B1108" s="157" t="s">
        <v>1647</v>
      </c>
      <c r="C1108" s="645" t="s">
        <v>1648</v>
      </c>
      <c r="D1108" s="271">
        <v>7272727.2726999996</v>
      </c>
      <c r="E1108" s="271">
        <v>1</v>
      </c>
      <c r="F1108" s="80">
        <v>0.88512153900000001</v>
      </c>
      <c r="G1108" s="80">
        <v>1.1624814830000001</v>
      </c>
      <c r="H1108" s="81">
        <f>G1108-F1108</f>
        <v>0.27735994400000008</v>
      </c>
      <c r="I1108" s="57"/>
      <c r="J1108" s="57"/>
      <c r="K1108" s="198">
        <f>H1108*E1108*D1108</f>
        <v>2017163.2290833453</v>
      </c>
    </row>
    <row r="1109" spans="1:12" x14ac:dyDescent="0.2">
      <c r="A1109" s="1324"/>
      <c r="B1109" s="157" t="s">
        <v>1649</v>
      </c>
      <c r="C1109" s="645" t="s">
        <v>1648</v>
      </c>
      <c r="D1109" s="271">
        <v>7272727.2726999996</v>
      </c>
      <c r="E1109" s="271">
        <v>1</v>
      </c>
      <c r="F1109" s="80">
        <v>36.677633980000003</v>
      </c>
      <c r="G1109" s="80">
        <v>48.478060908000003</v>
      </c>
      <c r="H1109" s="81">
        <f t="shared" ref="H1109:H1111" si="110">G1109-F1109</f>
        <v>11.800426928</v>
      </c>
      <c r="I1109" s="57"/>
      <c r="J1109" s="57"/>
      <c r="K1109" s="198">
        <f t="shared" ref="K1109:K1111" si="111">H1109*E1109*D1109</f>
        <v>85821286.748769075</v>
      </c>
    </row>
    <row r="1110" spans="1:12" x14ac:dyDescent="0.2">
      <c r="A1110" s="1324"/>
      <c r="B1110" s="157" t="s">
        <v>1650</v>
      </c>
      <c r="C1110" s="645" t="s">
        <v>1651</v>
      </c>
      <c r="D1110" s="271">
        <v>7272727.2726999996</v>
      </c>
      <c r="E1110" s="271">
        <v>1</v>
      </c>
      <c r="F1110" s="80">
        <v>2.2486229130000002</v>
      </c>
      <c r="G1110" s="80">
        <v>2.6896367849999998</v>
      </c>
      <c r="H1110" s="81">
        <f t="shared" si="110"/>
        <v>0.44101387199999964</v>
      </c>
      <c r="I1110" s="57"/>
      <c r="J1110" s="57"/>
      <c r="K1110" s="198">
        <f t="shared" si="111"/>
        <v>3207373.6145334239</v>
      </c>
    </row>
    <row r="1111" spans="1:12" x14ac:dyDescent="0.2">
      <c r="A1111" s="1324"/>
      <c r="B1111" s="157" t="s">
        <v>1652</v>
      </c>
      <c r="C1111" s="645" t="s">
        <v>1651</v>
      </c>
      <c r="D1111" s="271">
        <v>7272727.2726999996</v>
      </c>
      <c r="E1111" s="271">
        <v>1</v>
      </c>
      <c r="F1111" s="80">
        <v>40.611669990000003</v>
      </c>
      <c r="G1111" s="80">
        <v>52.383275437000002</v>
      </c>
      <c r="H1111" s="81">
        <f t="shared" si="110"/>
        <v>11.771605446999999</v>
      </c>
      <c r="I1111" s="57"/>
      <c r="J1111" s="57"/>
      <c r="K1111" s="198">
        <f t="shared" si="111"/>
        <v>85611675.977860764</v>
      </c>
    </row>
    <row r="1112" spans="1:12" x14ac:dyDescent="0.2">
      <c r="A1112" s="1324"/>
      <c r="B1112" s="61" t="s">
        <v>1653</v>
      </c>
      <c r="C1112" s="388"/>
      <c r="D1112" s="709"/>
      <c r="E1112" s="709"/>
      <c r="F1112" s="111"/>
      <c r="G1112" s="111"/>
      <c r="H1112" s="112"/>
      <c r="I1112" s="66"/>
      <c r="J1112" s="66"/>
      <c r="K1112" s="576">
        <f>K1109+K1111-K1108-K1110</f>
        <v>166208425.88301307</v>
      </c>
      <c r="L1112" s="896"/>
    </row>
    <row r="1113" spans="1:12" s="19" customFormat="1" x14ac:dyDescent="0.2">
      <c r="A1113" s="1324"/>
      <c r="B1113" s="154" t="s">
        <v>291</v>
      </c>
      <c r="C1113" s="191"/>
      <c r="D1113" s="192"/>
      <c r="E1113" s="193"/>
      <c r="F1113" s="116"/>
      <c r="G1113" s="116"/>
      <c r="H1113" s="117"/>
      <c r="I1113" s="118"/>
      <c r="J1113" s="118"/>
      <c r="K1113" s="1252">
        <f>K1076+K1065+K1062+K1059+K1050+K1043+K1034+K1079+K1082+K1092+K1101+K1104+K1107+K1038+K1112</f>
        <v>1215184993.1742518</v>
      </c>
      <c r="L1113" s="900"/>
    </row>
    <row r="1114" spans="1:12" ht="15.75" x14ac:dyDescent="0.25">
      <c r="A1114" s="1347" t="s">
        <v>292</v>
      </c>
      <c r="B1114" s="1348"/>
      <c r="C1114" s="1349"/>
      <c r="D1114" s="224"/>
      <c r="E1114" s="224"/>
      <c r="F1114" s="224"/>
      <c r="G1114" s="224"/>
      <c r="H1114" s="224"/>
      <c r="I1114" s="225"/>
      <c r="J1114" s="225"/>
      <c r="K1114" s="1253">
        <f>K1113+K1027+K990+K901+K859+K772+K745+K701+K598+K429+K279</f>
        <v>8669771365.9215679</v>
      </c>
    </row>
    <row r="1115" spans="1:12" ht="15.75" x14ac:dyDescent="0.25">
      <c r="A1115" s="226"/>
      <c r="B1115" s="226"/>
      <c r="C1115" s="226"/>
      <c r="D1115" s="226"/>
      <c r="E1115" s="226"/>
      <c r="F1115" s="479"/>
      <c r="G1115" s="226"/>
      <c r="H1115" s="226"/>
      <c r="I1115" s="227"/>
      <c r="J1115" s="227"/>
      <c r="K1115" s="228"/>
    </row>
    <row r="1116" spans="1:12" ht="15.75" x14ac:dyDescent="0.25">
      <c r="A1116" s="226"/>
      <c r="B1116" s="226"/>
      <c r="C1116" s="226"/>
      <c r="D1116" s="226"/>
      <c r="E1116" s="226"/>
      <c r="F1116" s="479"/>
      <c r="G1116" s="226"/>
      <c r="H1116" s="226"/>
      <c r="I1116" s="227"/>
      <c r="J1116" s="227"/>
      <c r="K1116" s="228"/>
    </row>
    <row r="1117" spans="1:12" ht="27.75" customHeight="1" x14ac:dyDescent="0.25">
      <c r="A1117" s="710"/>
      <c r="B1117" s="710"/>
      <c r="C1117" s="711" t="str">
        <f>F3</f>
        <v>Previous Reading</v>
      </c>
      <c r="D1117" s="711" t="str">
        <f>G3</f>
        <v>Present Reading</v>
      </c>
      <c r="E1117" s="712" t="s">
        <v>1237</v>
      </c>
      <c r="F1117" s="713"/>
      <c r="G1117" s="712"/>
      <c r="H1117" s="710"/>
      <c r="I1117" s="227"/>
      <c r="J1117" s="227"/>
      <c r="K1117" s="228"/>
    </row>
    <row r="1118" spans="1:12" ht="18" customHeight="1" x14ac:dyDescent="0.2">
      <c r="A1118" s="1220">
        <v>1</v>
      </c>
      <c r="B1118" s="393" t="s">
        <v>350</v>
      </c>
      <c r="C1118" s="235">
        <v>3392.6235000000001</v>
      </c>
      <c r="D1118" s="805">
        <v>3415.3924999999999</v>
      </c>
      <c r="E1118" s="235">
        <f>D1118-C1118</f>
        <v>22.768999999999778</v>
      </c>
      <c r="F1118" s="480">
        <v>1</v>
      </c>
      <c r="G1118" s="236">
        <f>2000*400*1000/110</f>
        <v>7272727.2727272725</v>
      </c>
      <c r="H1118" s="293">
        <f>E1118*G1118*F1118</f>
        <v>165592727.27272564</v>
      </c>
      <c r="I1118" s="230"/>
      <c r="J1118" s="229"/>
    </row>
    <row r="1119" spans="1:12" ht="14.25" customHeight="1" x14ac:dyDescent="0.2">
      <c r="A1119" s="1221">
        <v>2</v>
      </c>
      <c r="B1119" s="394" t="s">
        <v>351</v>
      </c>
      <c r="C1119" s="210">
        <v>0.1007</v>
      </c>
      <c r="D1119" s="210">
        <v>0.1007</v>
      </c>
      <c r="E1119" s="207">
        <f>D1119-C1119</f>
        <v>0</v>
      </c>
      <c r="F1119" s="481">
        <v>1</v>
      </c>
      <c r="G1119" s="92">
        <f>2000*400*1000/110</f>
        <v>7272727.2727272725</v>
      </c>
      <c r="H1119" s="294">
        <f>E1119*G1119*F1119</f>
        <v>0</v>
      </c>
      <c r="I1119" s="231"/>
      <c r="J1119" s="211"/>
    </row>
    <row r="1120" spans="1:12" ht="18" customHeight="1" x14ac:dyDescent="0.2">
      <c r="A1120" s="1221">
        <v>3</v>
      </c>
      <c r="B1120" s="394" t="s">
        <v>352</v>
      </c>
      <c r="C1120" s="212">
        <v>955.52390000000003</v>
      </c>
      <c r="D1120" s="212">
        <v>978.29399999999998</v>
      </c>
      <c r="E1120" s="207">
        <f>D1120-C1120</f>
        <v>22.770099999999957</v>
      </c>
      <c r="F1120" s="481">
        <v>1</v>
      </c>
      <c r="G1120" s="208">
        <f>2000*400*1000/110</f>
        <v>7272727.2727272725</v>
      </c>
      <c r="H1120" s="294">
        <f>E1120*G1120*F1120</f>
        <v>165600727.27272695</v>
      </c>
      <c r="I1120" s="232"/>
      <c r="J1120" s="209"/>
    </row>
    <row r="1121" spans="1:16" ht="16.5" customHeight="1" x14ac:dyDescent="0.2">
      <c r="A1121" s="1221">
        <v>4</v>
      </c>
      <c r="B1121" s="394" t="s">
        <v>353</v>
      </c>
      <c r="C1121" s="212">
        <v>2.35E-2</v>
      </c>
      <c r="D1121" s="212">
        <v>2.35E-2</v>
      </c>
      <c r="E1121" s="207">
        <f t="shared" ref="E1121:E1125" si="112">D1121-C1121</f>
        <v>0</v>
      </c>
      <c r="F1121" s="481">
        <v>1</v>
      </c>
      <c r="G1121" s="92">
        <f>2000*400*1000/110</f>
        <v>7272727.2727272725</v>
      </c>
      <c r="H1121" s="294">
        <f>E1121*G1121*F1121</f>
        <v>0</v>
      </c>
      <c r="I1121" s="231"/>
      <c r="J1121" s="211"/>
    </row>
    <row r="1122" spans="1:16" ht="16.5" customHeight="1" x14ac:dyDescent="0.2">
      <c r="A1122" s="1221"/>
      <c r="B1122" s="394" t="s">
        <v>1304</v>
      </c>
      <c r="C1122" s="212">
        <v>926.88580000000002</v>
      </c>
      <c r="D1122" s="212">
        <v>946.26990000000001</v>
      </c>
      <c r="E1122" s="207">
        <f t="shared" si="112"/>
        <v>19.384099999999989</v>
      </c>
      <c r="F1122" s="481">
        <v>1</v>
      </c>
      <c r="G1122" s="92">
        <f t="shared" ref="G1122:G1125" si="113">2000*400*1000/110</f>
        <v>7272727.2727272725</v>
      </c>
      <c r="H1122" s="294">
        <f t="shared" ref="H1122:H1125" si="114">E1122*G1122*F1122</f>
        <v>140975272.72727266</v>
      </c>
      <c r="I1122" s="231"/>
      <c r="J1122" s="211"/>
    </row>
    <row r="1123" spans="1:16" ht="16.5" customHeight="1" x14ac:dyDescent="0.2">
      <c r="A1123" s="1221"/>
      <c r="B1123" s="394" t="s">
        <v>1305</v>
      </c>
      <c r="C1123" s="212">
        <v>0.37169999999999997</v>
      </c>
      <c r="D1123" s="212">
        <v>0.37169999999999997</v>
      </c>
      <c r="E1123" s="207">
        <f t="shared" si="112"/>
        <v>0</v>
      </c>
      <c r="F1123" s="481">
        <v>1</v>
      </c>
      <c r="G1123" s="92">
        <f t="shared" si="113"/>
        <v>7272727.2727272725</v>
      </c>
      <c r="H1123" s="294">
        <f t="shared" si="114"/>
        <v>0</v>
      </c>
      <c r="I1123" s="231"/>
      <c r="J1123" s="211"/>
    </row>
    <row r="1124" spans="1:16" ht="16.5" customHeight="1" x14ac:dyDescent="0.2">
      <c r="A1124" s="1221"/>
      <c r="B1124" s="394" t="s">
        <v>1324</v>
      </c>
      <c r="C1124" s="212">
        <v>3242.3325</v>
      </c>
      <c r="D1124" s="212">
        <v>3261.7143000000001</v>
      </c>
      <c r="E1124" s="207">
        <f t="shared" si="112"/>
        <v>19.381800000000112</v>
      </c>
      <c r="F1124" s="481">
        <v>1</v>
      </c>
      <c r="G1124" s="92">
        <f t="shared" si="113"/>
        <v>7272727.2727272725</v>
      </c>
      <c r="H1124" s="294">
        <f t="shared" si="114"/>
        <v>140958545.45454627</v>
      </c>
      <c r="I1124" s="231"/>
      <c r="J1124" s="211"/>
    </row>
    <row r="1125" spans="1:16" ht="16.5" customHeight="1" x14ac:dyDescent="0.2">
      <c r="A1125" s="1221"/>
      <c r="B1125" s="394" t="s">
        <v>1325</v>
      </c>
      <c r="C1125" s="212">
        <v>1.5900000000000001E-2</v>
      </c>
      <c r="D1125" s="212">
        <v>1.5900000000000001E-2</v>
      </c>
      <c r="E1125" s="207">
        <f t="shared" si="112"/>
        <v>0</v>
      </c>
      <c r="F1125" s="481">
        <v>1</v>
      </c>
      <c r="G1125" s="92">
        <f t="shared" si="113"/>
        <v>7272727.2727272725</v>
      </c>
      <c r="H1125" s="294">
        <f t="shared" si="114"/>
        <v>0</v>
      </c>
      <c r="I1125" s="231"/>
      <c r="J1125" s="211"/>
    </row>
    <row r="1126" spans="1:16" ht="16.5" customHeight="1" x14ac:dyDescent="0.2">
      <c r="A1126" s="1345" t="s">
        <v>366</v>
      </c>
      <c r="B1126" s="1346"/>
      <c r="C1126" s="233"/>
      <c r="D1126" s="233"/>
      <c r="E1126" s="233"/>
      <c r="F1126" s="514"/>
      <c r="G1126" s="234"/>
      <c r="H1126" s="1219">
        <f>H1118-H1119+H1120-H1121+H1122-H1123+H1124-H1125</f>
        <v>613127272.72727156</v>
      </c>
      <c r="I1126" s="240">
        <v>222351272.72727287</v>
      </c>
      <c r="J1126" s="209"/>
      <c r="K1126" s="6"/>
      <c r="M1126" s="365" t="s">
        <v>1624</v>
      </c>
      <c r="P1126" s="1242"/>
    </row>
    <row r="1127" spans="1:16" x14ac:dyDescent="0.2">
      <c r="A1127" s="237">
        <v>5</v>
      </c>
      <c r="B1127" s="135" t="s">
        <v>464</v>
      </c>
      <c r="C1127" s="87">
        <v>4316.8090000000002</v>
      </c>
      <c r="D1127" s="87">
        <v>4330.0460000000003</v>
      </c>
      <c r="E1127" s="246">
        <f>D1127-C1127</f>
        <v>13.23700000000008</v>
      </c>
      <c r="F1127" s="482">
        <v>1</v>
      </c>
      <c r="G1127" s="246">
        <v>960000</v>
      </c>
      <c r="H1127" s="238">
        <f>E1127*G1127*F1127</f>
        <v>12707520.000000076</v>
      </c>
      <c r="I1127" s="231"/>
      <c r="J1127" s="209"/>
      <c r="P1127" s="6"/>
    </row>
    <row r="1128" spans="1:16" s="4" customFormat="1" x14ac:dyDescent="0.2">
      <c r="A1128" s="237">
        <v>6</v>
      </c>
      <c r="B1128" s="135" t="s">
        <v>465</v>
      </c>
      <c r="C1128" s="245">
        <v>4314.4269999999997</v>
      </c>
      <c r="D1128" s="245">
        <v>4327.6279999999997</v>
      </c>
      <c r="E1128" s="246">
        <f>D1128-C1128</f>
        <v>13.201000000000022</v>
      </c>
      <c r="F1128" s="482">
        <v>1</v>
      </c>
      <c r="G1128" s="246">
        <v>960000</v>
      </c>
      <c r="H1128" s="238">
        <f>E1128*G1128*F1128</f>
        <v>12672960.00000002</v>
      </c>
      <c r="I1128" s="241"/>
      <c r="J1128" s="239"/>
      <c r="K1128" s="2"/>
      <c r="L1128" s="896"/>
    </row>
    <row r="1129" spans="1:16" x14ac:dyDescent="0.2">
      <c r="A1129" s="1343" t="s">
        <v>467</v>
      </c>
      <c r="B1129" s="1344"/>
      <c r="C1129" s="511"/>
      <c r="D1129" s="511"/>
      <c r="E1129" s="512"/>
      <c r="F1129" s="512"/>
      <c r="G1129" s="512"/>
      <c r="H1129" s="513">
        <f>H1127+H1128</f>
        <v>25380480.000000097</v>
      </c>
      <c r="I1129" s="242"/>
      <c r="J1129" s="213"/>
      <c r="M1129" s="2">
        <v>4054.67</v>
      </c>
    </row>
    <row r="1130" spans="1:16" ht="12.75" customHeight="1" x14ac:dyDescent="0.2">
      <c r="B1130" s="1339">
        <f>H1126+H1129</f>
        <v>638507752.72727168</v>
      </c>
      <c r="C1130" s="1340"/>
      <c r="D1130" s="1340"/>
      <c r="E1130" s="1340"/>
      <c r="F1130" s="1340"/>
      <c r="G1130" s="1340"/>
      <c r="H1130" s="1340"/>
      <c r="I1130" s="1340"/>
      <c r="J1130" s="1340"/>
      <c r="M1130" s="2">
        <v>4052.0920000000001</v>
      </c>
    </row>
    <row r="1131" spans="1:16" x14ac:dyDescent="0.2">
      <c r="B1131" s="1338"/>
      <c r="C1131" s="1338"/>
      <c r="D1131" s="1338"/>
      <c r="E1131" s="1338"/>
      <c r="F1131" s="1338"/>
      <c r="G1131" s="1338"/>
      <c r="H1131" s="1338"/>
      <c r="I1131" s="1338"/>
      <c r="J1131" s="10"/>
      <c r="K1131" s="6"/>
    </row>
    <row r="1132" spans="1:16" x14ac:dyDescent="0.2">
      <c r="F1132" s="2"/>
      <c r="K1132" s="6"/>
    </row>
    <row r="1133" spans="1:16" x14ac:dyDescent="0.2">
      <c r="B1133" s="365" t="s">
        <v>1085</v>
      </c>
      <c r="C1133" s="808">
        <f>H1129+H1126+K1114</f>
        <v>9308279118.64884</v>
      </c>
      <c r="F1133" s="2"/>
      <c r="H1133" s="6">
        <f>B1130+K1114</f>
        <v>9308279118.64884</v>
      </c>
      <c r="K1133" s="6"/>
    </row>
  </sheetData>
  <mergeCells count="94">
    <mergeCell ref="C3:C4"/>
    <mergeCell ref="D3:D4"/>
    <mergeCell ref="C59:C60"/>
    <mergeCell ref="C174:C175"/>
    <mergeCell ref="C172:C173"/>
    <mergeCell ref="C89:C90"/>
    <mergeCell ref="C155:C156"/>
    <mergeCell ref="C8:C9"/>
    <mergeCell ref="C15:C16"/>
    <mergeCell ref="C17:C18"/>
    <mergeCell ref="B103:E103"/>
    <mergeCell ref="E3:E4"/>
    <mergeCell ref="C169:C170"/>
    <mergeCell ref="C49:C50"/>
    <mergeCell ref="C121:C122"/>
    <mergeCell ref="C118:C119"/>
    <mergeCell ref="B1131:I1131"/>
    <mergeCell ref="B1130:J1130"/>
    <mergeCell ref="E893:E894"/>
    <mergeCell ref="E895:E896"/>
    <mergeCell ref="C890:C891"/>
    <mergeCell ref="A1129:B1129"/>
    <mergeCell ref="A1126:B1126"/>
    <mergeCell ref="A1028:A1113"/>
    <mergeCell ref="C1080:C1081"/>
    <mergeCell ref="A1114:C1114"/>
    <mergeCell ref="A905:A990"/>
    <mergeCell ref="D893:D894"/>
    <mergeCell ref="D895:D896"/>
    <mergeCell ref="C893:C894"/>
    <mergeCell ref="L621:L622"/>
    <mergeCell ref="B280:B281"/>
    <mergeCell ref="C619:C620"/>
    <mergeCell ref="A991:A1027"/>
    <mergeCell ref="A702:A745"/>
    <mergeCell ref="C623:C624"/>
    <mergeCell ref="C881:C882"/>
    <mergeCell ref="C621:C622"/>
    <mergeCell ref="I873:J873"/>
    <mergeCell ref="C782:C783"/>
    <mergeCell ref="C752:C753"/>
    <mergeCell ref="B803:B804"/>
    <mergeCell ref="C872:C873"/>
    <mergeCell ref="C803:C804"/>
    <mergeCell ref="C805:C806"/>
    <mergeCell ref="A860:A901"/>
    <mergeCell ref="M871:M877"/>
    <mergeCell ref="M796:M797"/>
    <mergeCell ref="C898:C899"/>
    <mergeCell ref="A746:A772"/>
    <mergeCell ref="A773:A859"/>
    <mergeCell ref="C887:C888"/>
    <mergeCell ref="C895:C896"/>
    <mergeCell ref="C884:C885"/>
    <mergeCell ref="C150:C151"/>
    <mergeCell ref="B208:B209"/>
    <mergeCell ref="C208:C209"/>
    <mergeCell ref="C167:C168"/>
    <mergeCell ref="C192:C193"/>
    <mergeCell ref="B152:B153"/>
    <mergeCell ref="C152:C153"/>
    <mergeCell ref="C205:C206"/>
    <mergeCell ref="C63:C64"/>
    <mergeCell ref="C267:C268"/>
    <mergeCell ref="A599:A701"/>
    <mergeCell ref="A430:A598"/>
    <mergeCell ref="A280:A429"/>
    <mergeCell ref="C273:C274"/>
    <mergeCell ref="C276:C277"/>
    <mergeCell ref="C189:C190"/>
    <mergeCell ref="C221:C222"/>
    <mergeCell ref="B211:B212"/>
    <mergeCell ref="C211:C212"/>
    <mergeCell ref="B118:B119"/>
    <mergeCell ref="B148:B149"/>
    <mergeCell ref="C148:C149"/>
    <mergeCell ref="C72:C73"/>
    <mergeCell ref="B150:B151"/>
    <mergeCell ref="M202:M203"/>
    <mergeCell ref="P202:P203"/>
    <mergeCell ref="A1:K1"/>
    <mergeCell ref="B3:B4"/>
    <mergeCell ref="A5:A279"/>
    <mergeCell ref="K3:K4"/>
    <mergeCell ref="A3:A4"/>
    <mergeCell ref="C61:C62"/>
    <mergeCell ref="C65:C66"/>
    <mergeCell ref="C82:C83"/>
    <mergeCell ref="H2:K2"/>
    <mergeCell ref="H3:H4"/>
    <mergeCell ref="C84:C85"/>
    <mergeCell ref="C230:C231"/>
    <mergeCell ref="C270:C271"/>
    <mergeCell ref="C70:C71"/>
  </mergeCells>
  <phoneticPr fontId="11" type="noConversion"/>
  <pageMargins left="0" right="0" top="0.5" bottom="0" header="0.5" footer="0.5"/>
  <pageSetup paperSize="9" scale="80" fitToHeight="0" orientation="portrait" r:id="rId1"/>
  <headerFooter alignWithMargins="0">
    <oddHeader>&amp;RPage-8</oddHeader>
  </headerFooter>
  <rowBreaks count="16" manualBreakCount="16">
    <brk id="223" max="10" man="1"/>
    <brk id="166" max="10" man="1"/>
    <brk id="266" max="10" man="1"/>
    <brk id="279" max="10" man="1"/>
    <brk id="429" max="10" man="1"/>
    <brk id="587" max="10" man="1"/>
    <brk id="598" max="10" man="1"/>
    <brk id="661" max="10" man="1"/>
    <brk id="701" max="10" man="1"/>
    <brk id="745" max="10" man="1"/>
    <brk id="772" max="10" man="1"/>
    <brk id="859" max="10" man="1"/>
    <brk id="904" max="10" man="1"/>
    <brk id="980" max="10" man="1"/>
    <brk id="1027" max="10" man="1"/>
    <brk id="1114" max="10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P291"/>
  <sheetViews>
    <sheetView view="pageBreakPreview" topLeftCell="A261" zoomScaleNormal="100" zoomScaleSheetLayoutView="100" zoomScalePageLayoutView="70" workbookViewId="0">
      <selection activeCell="D279" sqref="D279:E279"/>
    </sheetView>
  </sheetViews>
  <sheetFormatPr defaultRowHeight="12.75" x14ac:dyDescent="0.2"/>
  <cols>
    <col min="1" max="1" width="4.140625" bestFit="1" customWidth="1"/>
    <col min="2" max="2" width="3.5703125" customWidth="1"/>
    <col min="3" max="3" width="38.5703125" customWidth="1"/>
    <col min="4" max="4" width="7.42578125" customWidth="1"/>
    <col min="5" max="5" width="8.28515625" style="435" customWidth="1"/>
    <col min="6" max="6" width="11" customWidth="1"/>
    <col min="7" max="7" width="9.7109375" bestFit="1" customWidth="1"/>
    <col min="8" max="9" width="11.28515625" customWidth="1"/>
    <col min="10" max="10" width="9.7109375" style="922" bestFit="1" customWidth="1"/>
    <col min="11" max="11" width="20.5703125" customWidth="1"/>
    <col min="12" max="12" width="13.28515625" bestFit="1" customWidth="1"/>
    <col min="13" max="13" width="10" bestFit="1" customWidth="1"/>
  </cols>
  <sheetData>
    <row r="1" spans="1:14" ht="13.5" customHeight="1" x14ac:dyDescent="0.25">
      <c r="A1" s="1434" t="s">
        <v>742</v>
      </c>
      <c r="B1" s="1434"/>
      <c r="C1" s="1434"/>
      <c r="D1" s="1434"/>
      <c r="E1" s="1434"/>
      <c r="F1" s="1434"/>
      <c r="G1" s="1434"/>
      <c r="H1" s="1434"/>
      <c r="I1" s="1434"/>
      <c r="J1" s="1434"/>
      <c r="K1" s="436"/>
      <c r="L1" s="436"/>
    </row>
    <row r="2" spans="1:14" x14ac:dyDescent="0.2">
      <c r="A2" s="436"/>
      <c r="B2" s="436"/>
      <c r="C2" s="436"/>
      <c r="D2" s="436"/>
      <c r="E2" s="438"/>
      <c r="F2" s="436"/>
      <c r="G2" s="1435" t="str">
        <f>Summary!C1</f>
        <v>Month: June/2025</v>
      </c>
      <c r="H2" s="1435"/>
      <c r="I2" s="1435"/>
      <c r="J2" s="1435"/>
      <c r="K2" s="436"/>
      <c r="L2" s="436"/>
    </row>
    <row r="3" spans="1:14" ht="11.25" customHeight="1" x14ac:dyDescent="0.2">
      <c r="A3" s="1436" t="s">
        <v>743</v>
      </c>
      <c r="B3" s="1436"/>
      <c r="C3" s="1436" t="s">
        <v>744</v>
      </c>
      <c r="D3" s="1438">
        <f>Comparison!D5</f>
        <v>45809</v>
      </c>
      <c r="E3" s="1438"/>
      <c r="F3" s="1438"/>
      <c r="G3" s="1438"/>
      <c r="H3" s="1438"/>
      <c r="I3" s="1103">
        <f>Comparison!C5</f>
        <v>45778</v>
      </c>
      <c r="J3" s="1437" t="s">
        <v>1086</v>
      </c>
      <c r="K3" s="520"/>
      <c r="L3" s="520"/>
    </row>
    <row r="4" spans="1:14" ht="26.25" customHeight="1" x14ac:dyDescent="0.2">
      <c r="A4" s="1436"/>
      <c r="B4" s="1436"/>
      <c r="C4" s="1436"/>
      <c r="D4" s="1460" t="s">
        <v>1187</v>
      </c>
      <c r="E4" s="1458" t="s">
        <v>1083</v>
      </c>
      <c r="F4" s="778" t="s">
        <v>8</v>
      </c>
      <c r="G4" s="778" t="s">
        <v>745</v>
      </c>
      <c r="H4" s="379" t="s">
        <v>7</v>
      </c>
      <c r="I4" s="379" t="s">
        <v>7</v>
      </c>
      <c r="J4" s="1437"/>
      <c r="K4" s="520"/>
      <c r="L4" s="520"/>
    </row>
    <row r="5" spans="1:14" x14ac:dyDescent="0.2">
      <c r="A5" s="1436"/>
      <c r="B5" s="1436"/>
      <c r="C5" s="1436"/>
      <c r="D5" s="1461"/>
      <c r="E5" s="1459"/>
      <c r="F5" s="648" t="s">
        <v>1640</v>
      </c>
      <c r="G5" s="648" t="s">
        <v>1640</v>
      </c>
      <c r="H5" s="648" t="s">
        <v>1640</v>
      </c>
      <c r="I5" s="648" t="s">
        <v>1640</v>
      </c>
      <c r="J5" s="1437"/>
      <c r="K5" s="436"/>
      <c r="L5" s="436"/>
    </row>
    <row r="6" spans="1:14" ht="10.5" customHeight="1" x14ac:dyDescent="0.2">
      <c r="A6" s="1404" t="s">
        <v>1153</v>
      </c>
      <c r="B6" s="1405"/>
      <c r="C6" s="1405"/>
      <c r="D6" s="1405"/>
      <c r="E6" s="1405"/>
      <c r="F6" s="1405"/>
      <c r="G6" s="1405"/>
      <c r="H6" s="1405"/>
      <c r="I6" s="1405"/>
      <c r="J6" s="1450"/>
      <c r="K6" s="436"/>
      <c r="L6" s="436"/>
    </row>
    <row r="7" spans="1:14" s="9" customFormat="1" ht="12.95" customHeight="1" x14ac:dyDescent="0.2">
      <c r="A7" s="1462">
        <v>1</v>
      </c>
      <c r="B7" s="1463"/>
      <c r="C7" s="1136" t="s">
        <v>747</v>
      </c>
      <c r="D7" s="1136"/>
      <c r="E7" s="1137"/>
      <c r="F7" s="1138">
        <f>'Generation Reading'!K335</f>
        <v>0</v>
      </c>
      <c r="G7" s="1138">
        <f>'Generation Reading'!K338</f>
        <v>0</v>
      </c>
      <c r="H7" s="1139">
        <f>F7-G7</f>
        <v>0</v>
      </c>
      <c r="I7" s="1140">
        <v>0</v>
      </c>
      <c r="J7" s="924"/>
      <c r="K7" s="779"/>
      <c r="L7" s="780"/>
    </row>
    <row r="8" spans="1:14" s="9" customFormat="1" ht="12.95" customHeight="1" x14ac:dyDescent="0.2">
      <c r="A8" s="1451">
        <v>2</v>
      </c>
      <c r="B8" s="1439"/>
      <c r="C8" s="781" t="s">
        <v>883</v>
      </c>
      <c r="D8" s="782">
        <v>132</v>
      </c>
      <c r="E8" s="783" t="s">
        <v>10</v>
      </c>
      <c r="F8" s="784">
        <f>'Generation Reading'!K347</f>
        <v>0</v>
      </c>
      <c r="G8" s="784">
        <f>'Generation Reading'!K350</f>
        <v>78724.799999999668</v>
      </c>
      <c r="H8" s="929">
        <f t="shared" ref="H8:H78" si="0">F8-G8</f>
        <v>-78724.799999999668</v>
      </c>
      <c r="I8" s="1104">
        <v>-99345.600000000471</v>
      </c>
      <c r="J8" s="925"/>
      <c r="K8" s="779" t="s">
        <v>884</v>
      </c>
      <c r="L8" s="780"/>
    </row>
    <row r="9" spans="1:14" s="9" customFormat="1" ht="12.95" customHeight="1" x14ac:dyDescent="0.2">
      <c r="A9" s="1451">
        <v>3</v>
      </c>
      <c r="B9" s="1439"/>
      <c r="C9" s="785" t="s">
        <v>1365</v>
      </c>
      <c r="D9" s="782">
        <v>132</v>
      </c>
      <c r="E9" s="783" t="s">
        <v>10</v>
      </c>
      <c r="F9" s="784">
        <f>'Generation Reading'!K601</f>
        <v>20194137.599999901</v>
      </c>
      <c r="G9" s="784">
        <f>'Generation Reading'!K602</f>
        <v>57.599999999951024</v>
      </c>
      <c r="H9" s="929">
        <f t="shared" si="0"/>
        <v>20194079.999999899</v>
      </c>
      <c r="I9" s="1104">
        <v>17273587.200000066</v>
      </c>
      <c r="J9" s="925"/>
      <c r="K9" s="779" t="s">
        <v>944</v>
      </c>
      <c r="L9" s="780">
        <f>(F10+F11+F12+F13+F14+F15+F16)+(G10-G11-G12-G13-G14-G15-G16)</f>
        <v>27399994.702400848</v>
      </c>
      <c r="M9" s="803">
        <f>SUM(H10:H16)</f>
        <v>27399994.702400856</v>
      </c>
      <c r="N9" s="803">
        <f>'Generation Reading'!K48</f>
        <v>27493001.702400856</v>
      </c>
    </row>
    <row r="10" spans="1:14" s="9" customFormat="1" ht="12.95" customHeight="1" x14ac:dyDescent="0.2">
      <c r="A10" s="1464">
        <v>4</v>
      </c>
      <c r="B10" s="781" t="s">
        <v>748</v>
      </c>
      <c r="C10" s="781" t="s">
        <v>1037</v>
      </c>
      <c r="D10" s="782">
        <v>132</v>
      </c>
      <c r="E10" s="783" t="s">
        <v>10</v>
      </c>
      <c r="F10" s="784">
        <f>'Generation Reading'!K5</f>
        <v>0</v>
      </c>
      <c r="G10" s="784">
        <f>'Generation Reading'!K20+'Generation Reading'!K34</f>
        <v>0</v>
      </c>
      <c r="H10" s="929">
        <f t="shared" si="0"/>
        <v>0</v>
      </c>
      <c r="I10" s="1104">
        <v>-66551.099999999991</v>
      </c>
      <c r="J10" s="925"/>
      <c r="K10" s="779" t="s">
        <v>1033</v>
      </c>
      <c r="L10" s="780"/>
    </row>
    <row r="11" spans="1:14" s="9" customFormat="1" ht="12.95" customHeight="1" x14ac:dyDescent="0.2">
      <c r="A11" s="1465"/>
      <c r="B11" s="781" t="s">
        <v>749</v>
      </c>
      <c r="C11" s="781" t="s">
        <v>1038</v>
      </c>
      <c r="D11" s="782">
        <v>132</v>
      </c>
      <c r="E11" s="783" t="s">
        <v>10</v>
      </c>
      <c r="F11" s="784">
        <f>'Generation Reading'!K6</f>
        <v>0</v>
      </c>
      <c r="G11" s="784">
        <f>'Generation Reading'!K21</f>
        <v>0</v>
      </c>
      <c r="H11" s="929">
        <f t="shared" si="0"/>
        <v>0</v>
      </c>
      <c r="I11" s="1104">
        <v>0</v>
      </c>
      <c r="J11" s="925"/>
      <c r="K11" s="779"/>
      <c r="L11" s="780"/>
    </row>
    <row r="12" spans="1:14" s="9" customFormat="1" ht="12.95" customHeight="1" x14ac:dyDescent="0.2">
      <c r="A12" s="1465"/>
      <c r="B12" s="781" t="s">
        <v>750</v>
      </c>
      <c r="C12" s="786" t="s">
        <v>820</v>
      </c>
      <c r="D12" s="782">
        <v>132</v>
      </c>
      <c r="E12" s="783" t="s">
        <v>10</v>
      </c>
      <c r="F12" s="784">
        <f>'Generation Reading'!K7</f>
        <v>0</v>
      </c>
      <c r="G12" s="784">
        <f>'Generation Reading'!K42</f>
        <v>34500.000000002328</v>
      </c>
      <c r="H12" s="929">
        <f t="shared" si="0"/>
        <v>-34500.000000002328</v>
      </c>
      <c r="I12" s="1104">
        <v>-34499.999999999265</v>
      </c>
      <c r="J12" s="925"/>
      <c r="K12" s="779" t="s">
        <v>833</v>
      </c>
      <c r="L12" s="780"/>
    </row>
    <row r="13" spans="1:14" s="9" customFormat="1" ht="12.95" customHeight="1" x14ac:dyDescent="0.2">
      <c r="A13" s="1465"/>
      <c r="B13" s="781" t="s">
        <v>751</v>
      </c>
      <c r="C13" s="786" t="s">
        <v>821</v>
      </c>
      <c r="D13" s="782">
        <v>132</v>
      </c>
      <c r="E13" s="783" t="s">
        <v>10</v>
      </c>
      <c r="F13" s="784">
        <f>'Generation Reading'!K8</f>
        <v>15585375.000000142</v>
      </c>
      <c r="G13" s="784">
        <f>'Generation Reading'!K9+'Generation Reading'!K43</f>
        <v>887800.00000000081</v>
      </c>
      <c r="H13" s="929">
        <f t="shared" si="0"/>
        <v>14697575.000000142</v>
      </c>
      <c r="I13" s="1104">
        <v>-959329.99999999674</v>
      </c>
      <c r="J13" s="925"/>
      <c r="K13" s="779" t="s">
        <v>833</v>
      </c>
      <c r="L13" s="780"/>
    </row>
    <row r="14" spans="1:14" s="9" customFormat="1" ht="12.95" customHeight="1" x14ac:dyDescent="0.2">
      <c r="A14" s="1465"/>
      <c r="B14" s="781" t="s">
        <v>768</v>
      </c>
      <c r="C14" s="781" t="s">
        <v>822</v>
      </c>
      <c r="D14" s="782">
        <v>132</v>
      </c>
      <c r="E14" s="783" t="s">
        <v>10</v>
      </c>
      <c r="F14" s="784">
        <f>'Generation Reading'!K11</f>
        <v>0</v>
      </c>
      <c r="G14" s="784">
        <f>'Generation Reading'!K37+'Generation Reading'!K38+'Generation Reading'!K28+'Generation Reading'!K29+'Generation Reading'!K30</f>
        <v>126719.99999998079</v>
      </c>
      <c r="H14" s="929">
        <f t="shared" si="0"/>
        <v>-126719.99999998079</v>
      </c>
      <c r="I14" s="1104">
        <v>0</v>
      </c>
      <c r="J14" s="925"/>
      <c r="K14" s="779" t="s">
        <v>833</v>
      </c>
      <c r="L14" s="780"/>
    </row>
    <row r="15" spans="1:14" s="9" customFormat="1" ht="12.95" customHeight="1" x14ac:dyDescent="0.2">
      <c r="A15" s="1465"/>
      <c r="B15" s="781" t="s">
        <v>769</v>
      </c>
      <c r="C15" s="787" t="s">
        <v>30</v>
      </c>
      <c r="D15" s="782">
        <v>132</v>
      </c>
      <c r="E15" s="783" t="s">
        <v>10</v>
      </c>
      <c r="F15" s="784">
        <f>'Generation Reading'!K12</f>
        <v>0</v>
      </c>
      <c r="G15" s="784">
        <f>'Generation Reading'!K39+'Generation Reading'!K40</f>
        <v>60984.000000004562</v>
      </c>
      <c r="H15" s="929">
        <f t="shared" si="0"/>
        <v>-60984.000000004562</v>
      </c>
      <c r="I15" s="1104">
        <v>-81839.999999997599</v>
      </c>
      <c r="J15" s="925"/>
      <c r="K15" s="779"/>
      <c r="L15" s="780"/>
    </row>
    <row r="16" spans="1:14" s="9" customFormat="1" ht="12.95" customHeight="1" x14ac:dyDescent="0.2">
      <c r="A16" s="1465"/>
      <c r="B16" s="781" t="s">
        <v>1080</v>
      </c>
      <c r="C16" s="786" t="s">
        <v>823</v>
      </c>
      <c r="D16" s="782">
        <v>132</v>
      </c>
      <c r="E16" s="783" t="s">
        <v>10</v>
      </c>
      <c r="F16" s="784">
        <f>'Generation Reading'!K13+'Generation Reading'!K14</f>
        <v>14640836.363200681</v>
      </c>
      <c r="G16" s="784">
        <f>'Generation Reading'!K31+'Generation Reading'!K32</f>
        <v>1716212.660799982</v>
      </c>
      <c r="H16" s="929">
        <f t="shared" si="0"/>
        <v>12924623.702400699</v>
      </c>
      <c r="I16" s="1104">
        <v>-418181.81400003307</v>
      </c>
      <c r="J16" s="925"/>
      <c r="K16" s="779" t="s">
        <v>1034</v>
      </c>
      <c r="L16" s="780"/>
    </row>
    <row r="17" spans="1:15" s="9" customFormat="1" ht="12.75" customHeight="1" x14ac:dyDescent="0.2">
      <c r="A17" s="1465"/>
      <c r="B17" s="782" t="s">
        <v>1421</v>
      </c>
      <c r="C17" s="1469" t="s">
        <v>1422</v>
      </c>
      <c r="D17" s="1470"/>
      <c r="E17" s="1471"/>
      <c r="F17" s="1472">
        <f>'Generation Reading'!K45+'Generation Reading'!K46+'Generation Reading'!K47</f>
        <v>93007.000000000073</v>
      </c>
      <c r="G17" s="1473"/>
      <c r="H17" s="949">
        <f>'Generation Reading'!K45+'Generation Reading'!K46+'Generation Reading'!K47</f>
        <v>93007.000000000073</v>
      </c>
      <c r="I17" s="1105">
        <v>103621.99999999999</v>
      </c>
      <c r="J17" s="948"/>
      <c r="K17" s="779"/>
      <c r="L17" s="780"/>
    </row>
    <row r="18" spans="1:15" s="9" customFormat="1" ht="12.95" customHeight="1" x14ac:dyDescent="0.2">
      <c r="A18" s="1466"/>
      <c r="B18" s="1467" t="s">
        <v>46</v>
      </c>
      <c r="C18" s="1468"/>
      <c r="D18" s="782"/>
      <c r="E18" s="783"/>
      <c r="F18" s="793">
        <f>SUM(F10:F17)</f>
        <v>30319218.363200821</v>
      </c>
      <c r="G18" s="793">
        <f>SUM(G10:G17)</f>
        <v>2826216.6607999709</v>
      </c>
      <c r="H18" s="793">
        <f>SUM(H10:H17)</f>
        <v>27493001.702400856</v>
      </c>
      <c r="I18" s="1106">
        <v>-1456780.9140000266</v>
      </c>
      <c r="J18" s="925"/>
      <c r="K18" s="779"/>
      <c r="L18" s="780"/>
    </row>
    <row r="19" spans="1:15" s="9" customFormat="1" ht="12.95" customHeight="1" x14ac:dyDescent="0.2">
      <c r="A19" s="1451">
        <v>5</v>
      </c>
      <c r="B19" s="1439"/>
      <c r="C19" s="788" t="s">
        <v>1107</v>
      </c>
      <c r="D19" s="782">
        <v>132</v>
      </c>
      <c r="E19" s="783" t="s">
        <v>10</v>
      </c>
      <c r="F19" s="784">
        <f>'Generation Reading'!K216</f>
        <v>0</v>
      </c>
      <c r="G19" s="784">
        <f>'Generation Reading'!K219</f>
        <v>2400.0000000029331</v>
      </c>
      <c r="H19" s="929">
        <f t="shared" si="0"/>
        <v>-2400.0000000029331</v>
      </c>
      <c r="I19" s="1104">
        <v>-65999.999999999665</v>
      </c>
      <c r="J19" s="925"/>
      <c r="K19" s="779" t="s">
        <v>1035</v>
      </c>
      <c r="L19" s="780"/>
    </row>
    <row r="20" spans="1:15" s="9" customFormat="1" ht="12.95" customHeight="1" x14ac:dyDescent="0.2">
      <c r="A20" s="1451">
        <v>6</v>
      </c>
      <c r="B20" s="1439"/>
      <c r="C20" s="786" t="s">
        <v>832</v>
      </c>
      <c r="D20" s="782">
        <v>132</v>
      </c>
      <c r="E20" s="783" t="s">
        <v>10</v>
      </c>
      <c r="F20" s="784">
        <f>'Generation Reading'!K225</f>
        <v>0</v>
      </c>
      <c r="G20" s="784">
        <f>'Generation Reading'!K228</f>
        <v>51268.800000000192</v>
      </c>
      <c r="H20" s="929">
        <f t="shared" si="0"/>
        <v>-51268.800000000192</v>
      </c>
      <c r="I20" s="1104">
        <v>-57261.59999999954</v>
      </c>
      <c r="J20" s="925"/>
      <c r="K20" s="779" t="s">
        <v>833</v>
      </c>
      <c r="L20" s="780"/>
    </row>
    <row r="21" spans="1:15" s="9" customFormat="1" ht="12.95" customHeight="1" x14ac:dyDescent="0.2">
      <c r="A21" s="1451">
        <v>7</v>
      </c>
      <c r="B21" s="1439"/>
      <c r="C21" s="789" t="s">
        <v>952</v>
      </c>
      <c r="D21" s="782">
        <v>132</v>
      </c>
      <c r="E21" s="783" t="s">
        <v>10</v>
      </c>
      <c r="F21" s="784">
        <f>'Generation Reading'!K666</f>
        <v>4861620.0000000028</v>
      </c>
      <c r="G21" s="784">
        <f>'Generation Reading'!K667</f>
        <v>16343.999999999998</v>
      </c>
      <c r="H21" s="929">
        <f t="shared" si="0"/>
        <v>4845276.0000000028</v>
      </c>
      <c r="I21" s="1104">
        <v>9312029.9999999404</v>
      </c>
      <c r="J21" s="925"/>
      <c r="K21" s="779" t="s">
        <v>953</v>
      </c>
      <c r="L21" s="780">
        <f>7224000-31070</f>
        <v>7192930</v>
      </c>
    </row>
    <row r="22" spans="1:15" s="9" customFormat="1" ht="12.95" customHeight="1" x14ac:dyDescent="0.2">
      <c r="A22" s="1451">
        <v>8</v>
      </c>
      <c r="B22" s="1439"/>
      <c r="C22" s="789" t="s">
        <v>950</v>
      </c>
      <c r="D22" s="782">
        <v>132</v>
      </c>
      <c r="E22" s="783" t="s">
        <v>10</v>
      </c>
      <c r="F22" s="784">
        <f>'Generation Reading'!K679</f>
        <v>96994895.999999642</v>
      </c>
      <c r="G22" s="784">
        <f>'Generation Reading'!K680</f>
        <v>326783.99999999988</v>
      </c>
      <c r="H22" s="929">
        <f t="shared" si="0"/>
        <v>96668111.999999642</v>
      </c>
      <c r="I22" s="1104">
        <v>113731728.00000027</v>
      </c>
      <c r="J22" s="925"/>
      <c r="K22" s="779" t="s">
        <v>951</v>
      </c>
      <c r="L22" s="780">
        <f>87680640-1655988</f>
        <v>86024652</v>
      </c>
    </row>
    <row r="23" spans="1:15" s="9" customFormat="1" ht="12.95" customHeight="1" x14ac:dyDescent="0.2">
      <c r="A23" s="1408">
        <v>9</v>
      </c>
      <c r="B23" s="781" t="s">
        <v>748</v>
      </c>
      <c r="C23" s="786" t="s">
        <v>874</v>
      </c>
      <c r="D23" s="782">
        <v>132</v>
      </c>
      <c r="E23" s="783" t="s">
        <v>10</v>
      </c>
      <c r="F23" s="784">
        <f>'Generation Reading'!K309</f>
        <v>0</v>
      </c>
      <c r="G23" s="784">
        <f>'Generation Reading'!K312+'Generation Reading'!K313-'Generation Reading'!K315</f>
        <v>1707807.9999999842</v>
      </c>
      <c r="H23" s="929">
        <f t="shared" si="0"/>
        <v>-1707807.9999999842</v>
      </c>
      <c r="I23" s="1104">
        <v>-4911061.0000000065</v>
      </c>
      <c r="J23" s="925"/>
      <c r="K23" s="779" t="s">
        <v>833</v>
      </c>
      <c r="L23" s="780">
        <v>-294400</v>
      </c>
    </row>
    <row r="24" spans="1:15" s="9" customFormat="1" ht="12.95" customHeight="1" x14ac:dyDescent="0.2">
      <c r="A24" s="1408"/>
      <c r="B24" s="781" t="s">
        <v>749</v>
      </c>
      <c r="C24" s="786" t="s">
        <v>875</v>
      </c>
      <c r="D24" s="782">
        <v>132</v>
      </c>
      <c r="E24" s="783" t="s">
        <v>10</v>
      </c>
      <c r="F24" s="784">
        <f>'Generation Reading'!K310</f>
        <v>10893720.000000007</v>
      </c>
      <c r="G24" s="784">
        <f>'Generation Reading'!K314</f>
        <v>0</v>
      </c>
      <c r="H24" s="929">
        <f t="shared" si="0"/>
        <v>10893720.000000007</v>
      </c>
      <c r="I24" s="1104">
        <v>36087689.999999963</v>
      </c>
      <c r="J24" s="925"/>
      <c r="K24" s="779" t="s">
        <v>833</v>
      </c>
      <c r="L24" s="780"/>
    </row>
    <row r="25" spans="1:15" s="9" customFormat="1" ht="12.95" customHeight="1" x14ac:dyDescent="0.2">
      <c r="A25" s="1408">
        <v>10</v>
      </c>
      <c r="B25" s="781" t="s">
        <v>748</v>
      </c>
      <c r="C25" s="789" t="s">
        <v>937</v>
      </c>
      <c r="D25" s="782">
        <v>132</v>
      </c>
      <c r="E25" s="783" t="s">
        <v>10</v>
      </c>
      <c r="F25" s="784">
        <f>'Generation Reading'!K638+'Generation Reading'!K639+'Generation Reading'!K640</f>
        <v>18399552.00000006</v>
      </c>
      <c r="G25" s="784">
        <f>'Generation Reading'!K645+'Generation Reading'!K646+'Generation Reading'!K647</f>
        <v>85752.000000000102</v>
      </c>
      <c r="H25" s="929">
        <f t="shared" si="0"/>
        <v>18313800.00000006</v>
      </c>
      <c r="I25" s="1104">
        <v>24326292.000000045</v>
      </c>
      <c r="J25" s="925"/>
      <c r="K25" s="779" t="s">
        <v>939</v>
      </c>
      <c r="L25" s="790">
        <f>16504000-226744</f>
        <v>16277256</v>
      </c>
      <c r="N25" s="803">
        <f>H25+H26</f>
        <v>30505068.000000253</v>
      </c>
    </row>
    <row r="26" spans="1:15" s="9" customFormat="1" ht="12.95" customHeight="1" x14ac:dyDescent="0.2">
      <c r="A26" s="1408"/>
      <c r="B26" s="781" t="s">
        <v>749</v>
      </c>
      <c r="C26" s="789" t="s">
        <v>938</v>
      </c>
      <c r="D26" s="782">
        <v>132</v>
      </c>
      <c r="E26" s="783" t="s">
        <v>10</v>
      </c>
      <c r="F26" s="784">
        <f>'Generation Reading'!K641+'Generation Reading'!K642+'Generation Reading'!K643</f>
        <v>13954764.000000196</v>
      </c>
      <c r="G26" s="784">
        <f>'Generation Reading'!K648+'Generation Reading'!K649+'Generation Reading'!K650+'Generation Reading'!K651</f>
        <v>1763496</v>
      </c>
      <c r="H26" s="929">
        <f t="shared" si="0"/>
        <v>12191268.000000196</v>
      </c>
      <c r="I26" s="1104">
        <v>16111895.999999993</v>
      </c>
      <c r="J26" s="925"/>
      <c r="K26" s="779" t="s">
        <v>940</v>
      </c>
      <c r="L26" s="790">
        <f>12099302-1896560</f>
        <v>10202742</v>
      </c>
    </row>
    <row r="27" spans="1:15" s="9" customFormat="1" ht="12.95" customHeight="1" x14ac:dyDescent="0.2">
      <c r="A27" s="1408">
        <v>11</v>
      </c>
      <c r="B27" s="781" t="s">
        <v>748</v>
      </c>
      <c r="C27" s="786" t="s">
        <v>991</v>
      </c>
      <c r="D27" s="782">
        <v>132</v>
      </c>
      <c r="E27" s="783" t="s">
        <v>10</v>
      </c>
      <c r="F27" s="784">
        <f>'Generation Reading'!K773</f>
        <v>3035000</v>
      </c>
      <c r="G27" s="784">
        <f>'Generation Reading'!K774</f>
        <v>119000</v>
      </c>
      <c r="H27" s="929">
        <f t="shared" si="0"/>
        <v>2916000</v>
      </c>
      <c r="I27" s="1104">
        <v>-100800</v>
      </c>
      <c r="J27" s="925"/>
      <c r="K27" s="779" t="s">
        <v>992</v>
      </c>
      <c r="L27" s="780">
        <f>245000-90800</f>
        <v>154200</v>
      </c>
      <c r="O27" s="803">
        <f>H25+H26</f>
        <v>30505068.000000253</v>
      </c>
    </row>
    <row r="28" spans="1:15" s="9" customFormat="1" ht="12.95" customHeight="1" x14ac:dyDescent="0.2">
      <c r="A28" s="1408"/>
      <c r="B28" s="781" t="s">
        <v>749</v>
      </c>
      <c r="C28" s="786" t="s">
        <v>993</v>
      </c>
      <c r="D28" s="782">
        <v>132</v>
      </c>
      <c r="E28" s="783" t="s">
        <v>10</v>
      </c>
      <c r="F28" s="784">
        <f>'Generation Reading'!K777</f>
        <v>0</v>
      </c>
      <c r="G28" s="784">
        <f>'Generation Reading'!K780</f>
        <v>8250</v>
      </c>
      <c r="H28" s="929">
        <f t="shared" si="0"/>
        <v>-8250</v>
      </c>
      <c r="I28" s="1104">
        <v>-9520</v>
      </c>
      <c r="J28" s="925"/>
      <c r="K28" s="779" t="s">
        <v>994</v>
      </c>
      <c r="L28" s="780">
        <v>-6880</v>
      </c>
    </row>
    <row r="29" spans="1:15" s="9" customFormat="1" ht="12.95" customHeight="1" x14ac:dyDescent="0.2">
      <c r="A29" s="1451">
        <v>12</v>
      </c>
      <c r="B29" s="1439"/>
      <c r="C29" s="786" t="s">
        <v>919</v>
      </c>
      <c r="D29" s="782">
        <v>132</v>
      </c>
      <c r="E29" s="783" t="s">
        <v>10</v>
      </c>
      <c r="F29" s="784">
        <f>'Generation Reading'!K560</f>
        <v>22691520.000000253</v>
      </c>
      <c r="G29" s="784">
        <f>'Generation Reading'!K563</f>
        <v>172608.00000000017</v>
      </c>
      <c r="H29" s="929">
        <f t="shared" si="0"/>
        <v>22518912.000000253</v>
      </c>
      <c r="I29" s="1104">
        <v>45217343.999999791</v>
      </c>
      <c r="J29" s="925"/>
      <c r="K29" s="779" t="s">
        <v>920</v>
      </c>
      <c r="L29" s="780"/>
    </row>
    <row r="30" spans="1:15" s="9" customFormat="1" ht="12.95" customHeight="1" x14ac:dyDescent="0.2">
      <c r="A30" s="1451">
        <v>13</v>
      </c>
      <c r="B30" s="1439"/>
      <c r="C30" s="786" t="s">
        <v>827</v>
      </c>
      <c r="D30" s="782">
        <v>132</v>
      </c>
      <c r="E30" s="783" t="s">
        <v>10</v>
      </c>
      <c r="F30" s="784">
        <f>'Generation Reading'!K221</f>
        <v>0</v>
      </c>
      <c r="G30" s="784">
        <f>'Generation Reading'!K222</f>
        <v>2640.0000000002956</v>
      </c>
      <c r="H30" s="929">
        <f t="shared" si="0"/>
        <v>-2640.0000000002956</v>
      </c>
      <c r="I30" s="1104">
        <v>-1319.9999999998547</v>
      </c>
      <c r="J30" s="925"/>
      <c r="K30" s="779" t="s">
        <v>1036</v>
      </c>
      <c r="L30" s="780">
        <f>-6653</f>
        <v>-6653</v>
      </c>
    </row>
    <row r="31" spans="1:15" s="9" customFormat="1" ht="12.95" customHeight="1" x14ac:dyDescent="0.2">
      <c r="A31" s="1451">
        <v>14</v>
      </c>
      <c r="B31" s="1439"/>
      <c r="C31" s="786" t="s">
        <v>987</v>
      </c>
      <c r="D31" s="782">
        <v>132</v>
      </c>
      <c r="E31" s="783" t="s">
        <v>10</v>
      </c>
      <c r="F31" s="784">
        <f>'Generation Reading'!K1069</f>
        <v>72876544.609600186</v>
      </c>
      <c r="G31" s="784">
        <f>'Generation Reading'!K1075</f>
        <v>240872.72448000161</v>
      </c>
      <c r="H31" s="929">
        <f t="shared" si="0"/>
        <v>72635671.885120183</v>
      </c>
      <c r="I31" s="1104">
        <v>70117171.914319947</v>
      </c>
      <c r="J31" s="925"/>
      <c r="K31" s="779" t="s">
        <v>988</v>
      </c>
      <c r="L31" s="780">
        <v>-610775</v>
      </c>
    </row>
    <row r="32" spans="1:15" s="9" customFormat="1" ht="12.95" customHeight="1" x14ac:dyDescent="0.2">
      <c r="A32" s="1451">
        <v>15</v>
      </c>
      <c r="B32" s="1439"/>
      <c r="C32" s="786" t="s">
        <v>945</v>
      </c>
      <c r="D32" s="782">
        <v>132</v>
      </c>
      <c r="E32" s="783" t="s">
        <v>10</v>
      </c>
      <c r="F32" s="784">
        <f>'Generation Reading'!K609</f>
        <v>0</v>
      </c>
      <c r="G32" s="784">
        <f>'Generation Reading'!K614</f>
        <v>138286.80000000013</v>
      </c>
      <c r="H32" s="929">
        <f t="shared" si="0"/>
        <v>-138286.80000000013</v>
      </c>
      <c r="I32" s="1104">
        <v>-134643.59999999995</v>
      </c>
      <c r="J32" s="925"/>
      <c r="K32" s="779" t="s">
        <v>946</v>
      </c>
      <c r="L32" s="780">
        <f>14846913-1359400</f>
        <v>13487513</v>
      </c>
    </row>
    <row r="33" spans="1:12" s="9" customFormat="1" ht="12.95" customHeight="1" x14ac:dyDescent="0.2">
      <c r="A33" s="1451">
        <v>16</v>
      </c>
      <c r="B33" s="1439"/>
      <c r="C33" s="786" t="s">
        <v>1247</v>
      </c>
      <c r="D33" s="782">
        <v>132</v>
      </c>
      <c r="E33" s="783" t="s">
        <v>10</v>
      </c>
      <c r="F33" s="784">
        <f>'Generation Reading'!K616</f>
        <v>138286.80000000013</v>
      </c>
      <c r="G33" s="784">
        <f>'Generation Reading'!K617</f>
        <v>342334.09090908978</v>
      </c>
      <c r="H33" s="929">
        <f t="shared" si="0"/>
        <v>-204047.29090908964</v>
      </c>
      <c r="I33" s="1104">
        <v>-202107.76363636405</v>
      </c>
      <c r="J33" s="925"/>
      <c r="K33" s="779"/>
      <c r="L33" s="780"/>
    </row>
    <row r="34" spans="1:12" s="9" customFormat="1" ht="12.95" customHeight="1" x14ac:dyDescent="0.2">
      <c r="A34" s="1451">
        <v>17</v>
      </c>
      <c r="B34" s="1439"/>
      <c r="C34" s="786" t="s">
        <v>963</v>
      </c>
      <c r="D34" s="782">
        <v>132</v>
      </c>
      <c r="E34" s="782" t="s">
        <v>10</v>
      </c>
      <c r="F34" s="791">
        <f>'Generation Reading'!K383</f>
        <v>140936731.98526761</v>
      </c>
      <c r="G34" s="791">
        <f>'Generation Reading'!K384</f>
        <v>9961.0909087290711</v>
      </c>
      <c r="H34" s="929">
        <f t="shared" si="0"/>
        <v>140926770.89435887</v>
      </c>
      <c r="I34" s="1104">
        <v>76882509.808699861</v>
      </c>
      <c r="J34" s="925"/>
      <c r="K34" s="792" t="s">
        <v>885</v>
      </c>
      <c r="L34" s="780"/>
    </row>
    <row r="35" spans="1:12" s="9" customFormat="1" ht="12.95" customHeight="1" x14ac:dyDescent="0.2">
      <c r="A35" s="1451">
        <v>18</v>
      </c>
      <c r="B35" s="1439"/>
      <c r="C35" s="786" t="s">
        <v>1251</v>
      </c>
      <c r="D35" s="783">
        <v>230</v>
      </c>
      <c r="E35" s="782" t="s">
        <v>10</v>
      </c>
      <c r="F35" s="791">
        <f>'Generation Reading'!K631</f>
        <v>220465454.52340856</v>
      </c>
      <c r="G35" s="791">
        <f>'Generation Reading'!K632+'Generation Reading'!K633</f>
        <v>2432354.5443969844</v>
      </c>
      <c r="H35" s="929">
        <f t="shared" si="0"/>
        <v>218033099.97901157</v>
      </c>
      <c r="I35" s="1104">
        <v>177637390.89212194</v>
      </c>
      <c r="J35" s="925"/>
      <c r="K35" s="792"/>
      <c r="L35" s="780"/>
    </row>
    <row r="36" spans="1:12" s="9" customFormat="1" ht="12.95" customHeight="1" x14ac:dyDescent="0.2">
      <c r="A36" s="1451">
        <v>19</v>
      </c>
      <c r="B36" s="1439"/>
      <c r="C36" s="786" t="s">
        <v>1400</v>
      </c>
      <c r="D36" s="783">
        <v>230</v>
      </c>
      <c r="E36" s="782" t="s">
        <v>1401</v>
      </c>
      <c r="F36" s="791">
        <f>'Generation Reading'!K978</f>
        <v>0</v>
      </c>
      <c r="G36" s="791">
        <f>'Generation Reading'!K981</f>
        <v>872268.22545455012</v>
      </c>
      <c r="H36" s="929">
        <f t="shared" si="0"/>
        <v>-872268.22545455012</v>
      </c>
      <c r="I36" s="1104">
        <v>-904877.95999999635</v>
      </c>
      <c r="J36" s="925"/>
      <c r="K36" s="792"/>
      <c r="L36" s="780"/>
    </row>
    <row r="37" spans="1:12" s="9" customFormat="1" ht="12.95" customHeight="1" x14ac:dyDescent="0.2">
      <c r="A37" s="1451">
        <v>20</v>
      </c>
      <c r="B37" s="1439"/>
      <c r="C37" s="785" t="s">
        <v>961</v>
      </c>
      <c r="D37" s="783">
        <v>230</v>
      </c>
      <c r="E37" s="783" t="s">
        <v>10</v>
      </c>
      <c r="F37" s="784">
        <f>'Generation Reading'!K628</f>
        <v>255078282.36671028</v>
      </c>
      <c r="G37" s="784">
        <f>'Generation Reading'!K629</f>
        <v>0</v>
      </c>
      <c r="H37" s="929">
        <f t="shared" si="0"/>
        <v>255078282.36671028</v>
      </c>
      <c r="I37" s="1104">
        <v>255597639.09400606</v>
      </c>
      <c r="J37" s="925"/>
      <c r="K37" s="779" t="s">
        <v>962</v>
      </c>
      <c r="L37" s="780"/>
    </row>
    <row r="38" spans="1:12" s="9" customFormat="1" ht="12.95" customHeight="1" x14ac:dyDescent="0.2">
      <c r="A38" s="1446" t="s">
        <v>752</v>
      </c>
      <c r="B38" s="1447"/>
      <c r="C38" s="1447"/>
      <c r="D38" s="1439"/>
      <c r="E38" s="1439"/>
      <c r="F38" s="793">
        <f>SUM(F18:F37)+F7+F8+F9</f>
        <v>910839728.24818754</v>
      </c>
      <c r="G38" s="793">
        <f t="shared" ref="G38" si="1">SUM(G18:G37)+G7+G8+G9</f>
        <v>11197427.336949311</v>
      </c>
      <c r="H38" s="793">
        <f>SUM(H18:H37)+H7+H8+H9</f>
        <v>899642300.91123819</v>
      </c>
      <c r="I38" s="1106">
        <v>834351560.47151136</v>
      </c>
      <c r="J38" s="925"/>
      <c r="K38" s="794">
        <f>F38-G38</f>
        <v>899642300.91123819</v>
      </c>
      <c r="L38" s="780"/>
    </row>
    <row r="39" spans="1:12" s="9" customFormat="1" ht="12.95" customHeight="1" x14ac:dyDescent="0.2">
      <c r="A39" s="1408">
        <v>20</v>
      </c>
      <c r="B39" s="1411"/>
      <c r="C39" s="786" t="s">
        <v>872</v>
      </c>
      <c r="D39" s="782">
        <v>132</v>
      </c>
      <c r="E39" s="782" t="s">
        <v>9</v>
      </c>
      <c r="F39" s="791">
        <f>'Generation Reading'!K323</f>
        <v>119081779.9999997</v>
      </c>
      <c r="G39" s="791">
        <f>'Generation Reading'!K329</f>
        <v>212110.10070000013</v>
      </c>
      <c r="H39" s="929">
        <f t="shared" si="0"/>
        <v>118869669.8992997</v>
      </c>
      <c r="I39" s="1104">
        <v>29820736.630050261</v>
      </c>
      <c r="J39" s="925"/>
      <c r="K39" s="779" t="s">
        <v>873</v>
      </c>
      <c r="L39" s="780"/>
    </row>
    <row r="40" spans="1:12" s="9" customFormat="1" ht="12.95" customHeight="1" x14ac:dyDescent="0.2">
      <c r="A40" s="1448" t="s">
        <v>753</v>
      </c>
      <c r="B40" s="1449"/>
      <c r="C40" s="1449"/>
      <c r="D40" s="781"/>
      <c r="E40" s="783"/>
      <c r="F40" s="793">
        <f>SUM(F39)</f>
        <v>119081779.9999997</v>
      </c>
      <c r="G40" s="793">
        <f>SUM(G39)</f>
        <v>212110.10070000013</v>
      </c>
      <c r="H40" s="930">
        <f t="shared" si="0"/>
        <v>118869669.8992997</v>
      </c>
      <c r="I40" s="1106">
        <v>29820736.630050261</v>
      </c>
      <c r="J40" s="925"/>
      <c r="K40" s="794">
        <f>F40-G40</f>
        <v>118869669.8992997</v>
      </c>
      <c r="L40" s="780"/>
    </row>
    <row r="41" spans="1:12" s="9" customFormat="1" ht="12.95" customHeight="1" x14ac:dyDescent="0.2">
      <c r="A41" s="1408">
        <v>21</v>
      </c>
      <c r="B41" s="781" t="s">
        <v>748</v>
      </c>
      <c r="C41" s="786" t="s">
        <v>1020</v>
      </c>
      <c r="D41" s="782">
        <v>132</v>
      </c>
      <c r="E41" s="783" t="s">
        <v>11</v>
      </c>
      <c r="F41" s="784">
        <f>'Generation Reading'!K860+'Generation Reading'!K862</f>
        <v>33494690.908544805</v>
      </c>
      <c r="G41" s="784">
        <f>'Generation Reading'!K867</f>
        <v>7065599.9998848066</v>
      </c>
      <c r="H41" s="929">
        <f t="shared" si="0"/>
        <v>26429090.908659998</v>
      </c>
      <c r="I41" s="1104">
        <v>22991636.363261484</v>
      </c>
      <c r="J41" s="925"/>
      <c r="K41" s="779" t="s">
        <v>1024</v>
      </c>
      <c r="L41" s="780"/>
    </row>
    <row r="42" spans="1:12" s="9" customFormat="1" ht="12.95" customHeight="1" x14ac:dyDescent="0.2">
      <c r="A42" s="1408"/>
      <c r="B42" s="781" t="s">
        <v>749</v>
      </c>
      <c r="C42" s="786" t="s">
        <v>1021</v>
      </c>
      <c r="D42" s="782">
        <v>132</v>
      </c>
      <c r="E42" s="783" t="s">
        <v>11</v>
      </c>
      <c r="F42" s="784">
        <f>'Generation Reading'!K861+'Generation Reading'!H863</f>
        <v>0</v>
      </c>
      <c r="G42" s="784">
        <v>0</v>
      </c>
      <c r="H42" s="929">
        <f t="shared" si="0"/>
        <v>0</v>
      </c>
      <c r="I42" s="1104">
        <v>0</v>
      </c>
      <c r="J42" s="925"/>
      <c r="K42" s="779" t="s">
        <v>1024</v>
      </c>
      <c r="L42" s="780"/>
    </row>
    <row r="43" spans="1:12" s="9" customFormat="1" ht="12.95" customHeight="1" x14ac:dyDescent="0.2">
      <c r="A43" s="1408"/>
      <c r="B43" s="781" t="s">
        <v>750</v>
      </c>
      <c r="C43" s="786" t="s">
        <v>1022</v>
      </c>
      <c r="D43" s="782">
        <v>132</v>
      </c>
      <c r="E43" s="783" t="s">
        <v>11</v>
      </c>
      <c r="F43" s="784">
        <f>'Generation Reading'!K869</f>
        <v>119775000</v>
      </c>
      <c r="G43" s="784">
        <f>'Generation Reading'!K870</f>
        <v>278939</v>
      </c>
      <c r="H43" s="929">
        <f t="shared" si="0"/>
        <v>119496061</v>
      </c>
      <c r="I43" s="1104">
        <v>105410533</v>
      </c>
      <c r="J43" s="925"/>
      <c r="K43" s="779" t="s">
        <v>1023</v>
      </c>
      <c r="L43" s="780">
        <f>114013600-12842886</f>
        <v>101170714</v>
      </c>
    </row>
    <row r="44" spans="1:12" s="9" customFormat="1" ht="12.95" customHeight="1" x14ac:dyDescent="0.2">
      <c r="A44" s="1448" t="s">
        <v>754</v>
      </c>
      <c r="B44" s="1449"/>
      <c r="C44" s="1449"/>
      <c r="D44" s="781"/>
      <c r="E44" s="783"/>
      <c r="F44" s="793">
        <f>SUM(F41:F43)</f>
        <v>153269690.90854481</v>
      </c>
      <c r="G44" s="793">
        <f t="shared" ref="G44:H44" si="2">SUM(G41:G43)</f>
        <v>7344538.9998848066</v>
      </c>
      <c r="H44" s="930">
        <f t="shared" si="2"/>
        <v>145925151.90865999</v>
      </c>
      <c r="I44" s="1106">
        <v>128402169.36326149</v>
      </c>
      <c r="J44" s="925"/>
      <c r="K44" s="794">
        <f>F44-G44</f>
        <v>145925151.90865999</v>
      </c>
      <c r="L44" s="780"/>
    </row>
    <row r="45" spans="1:12" s="9" customFormat="1" ht="12.95" customHeight="1" x14ac:dyDescent="0.2">
      <c r="A45" s="1362">
        <f>A41+1</f>
        <v>22</v>
      </c>
      <c r="B45" s="1363"/>
      <c r="C45" s="796" t="s">
        <v>1659</v>
      </c>
      <c r="D45" s="783">
        <v>132</v>
      </c>
      <c r="E45" s="782" t="s">
        <v>13</v>
      </c>
      <c r="F45" s="784">
        <f>'Generation Reading'!K884</f>
        <v>0</v>
      </c>
      <c r="G45" s="784">
        <f>'Generation Reading'!K885</f>
        <v>125951.99999999999</v>
      </c>
      <c r="H45" s="929">
        <f t="shared" si="0"/>
        <v>-125951.99999999999</v>
      </c>
      <c r="I45" s="1106">
        <v>-121152.00000000003</v>
      </c>
      <c r="J45" s="925"/>
      <c r="K45" s="794"/>
      <c r="L45" s="780"/>
    </row>
    <row r="46" spans="1:12" s="9" customFormat="1" ht="12.95" customHeight="1" x14ac:dyDescent="0.2">
      <c r="A46" s="1408">
        <f>A45+1</f>
        <v>23</v>
      </c>
      <c r="B46" s="1411"/>
      <c r="C46" s="786" t="s">
        <v>999</v>
      </c>
      <c r="D46" s="782">
        <v>132</v>
      </c>
      <c r="E46" s="782" t="s">
        <v>13</v>
      </c>
      <c r="F46" s="784">
        <f>'Generation Reading'!K799</f>
        <v>400319.99999998789</v>
      </c>
      <c r="G46" s="784">
        <f>'Generation Reading'!K800</f>
        <v>128735.99999999926</v>
      </c>
      <c r="H46" s="929">
        <f t="shared" si="0"/>
        <v>271583.99999998865</v>
      </c>
      <c r="I46" s="1104">
        <v>554472.00000000652</v>
      </c>
      <c r="J46" s="925"/>
      <c r="K46" s="779" t="s">
        <v>1000</v>
      </c>
      <c r="L46" s="780"/>
    </row>
    <row r="47" spans="1:12" s="9" customFormat="1" ht="12.95" customHeight="1" x14ac:dyDescent="0.2">
      <c r="A47" s="1408">
        <f t="shared" ref="A47:A54" si="3">A46+1</f>
        <v>24</v>
      </c>
      <c r="B47" s="1411"/>
      <c r="C47" s="786" t="s">
        <v>995</v>
      </c>
      <c r="D47" s="782">
        <v>132</v>
      </c>
      <c r="E47" s="782" t="s">
        <v>13</v>
      </c>
      <c r="F47" s="784">
        <f>'Generation Reading'!K792</f>
        <v>2364432.0000000335</v>
      </c>
      <c r="G47" s="784">
        <f>'Generation Reading'!K793</f>
        <v>76080.000000000044</v>
      </c>
      <c r="H47" s="929">
        <f t="shared" si="0"/>
        <v>2288352.0000000335</v>
      </c>
      <c r="I47" s="1104">
        <v>3527999.9999999716</v>
      </c>
      <c r="J47" s="925"/>
      <c r="K47" s="779" t="s">
        <v>996</v>
      </c>
      <c r="L47" s="780"/>
    </row>
    <row r="48" spans="1:12" s="9" customFormat="1" ht="12.95" customHeight="1" x14ac:dyDescent="0.2">
      <c r="A48" s="1408">
        <f t="shared" si="3"/>
        <v>25</v>
      </c>
      <c r="B48" s="1411"/>
      <c r="C48" s="786" t="s">
        <v>891</v>
      </c>
      <c r="D48" s="782">
        <v>132</v>
      </c>
      <c r="E48" s="782" t="s">
        <v>13</v>
      </c>
      <c r="F48" s="784">
        <f>'Generation Reading'!K352</f>
        <v>9549480.0000001304</v>
      </c>
      <c r="G48" s="784">
        <f>'Generation Reading'!K353</f>
        <v>112679.99999999958</v>
      </c>
      <c r="H48" s="929">
        <f t="shared" si="0"/>
        <v>9436800.0000001304</v>
      </c>
      <c r="I48" s="1104">
        <v>17064959.999999925</v>
      </c>
      <c r="J48" s="925"/>
      <c r="K48" s="779" t="s">
        <v>892</v>
      </c>
      <c r="L48" s="780"/>
    </row>
    <row r="49" spans="1:12" s="9" customFormat="1" ht="12.95" customHeight="1" x14ac:dyDescent="0.2">
      <c r="A49" s="1408">
        <f t="shared" si="3"/>
        <v>26</v>
      </c>
      <c r="B49" s="1411"/>
      <c r="C49" s="786" t="s">
        <v>889</v>
      </c>
      <c r="D49" s="782">
        <v>132</v>
      </c>
      <c r="E49" s="782" t="s">
        <v>13</v>
      </c>
      <c r="F49" s="784">
        <f>'Generation Reading'!K355</f>
        <v>14414759.999999842</v>
      </c>
      <c r="G49" s="784">
        <f>'Generation Reading'!K356</f>
        <v>84720.0000000008</v>
      </c>
      <c r="H49" s="929">
        <f t="shared" si="0"/>
        <v>14330039.999999842</v>
      </c>
      <c r="I49" s="1104">
        <v>19268640.00000022</v>
      </c>
      <c r="J49" s="925"/>
      <c r="K49" s="779" t="s">
        <v>890</v>
      </c>
      <c r="L49" s="780"/>
    </row>
    <row r="50" spans="1:12" s="9" customFormat="1" ht="12.95" customHeight="1" x14ac:dyDescent="0.2">
      <c r="A50" s="1408">
        <f t="shared" si="3"/>
        <v>27</v>
      </c>
      <c r="B50" s="1411"/>
      <c r="C50" s="786" t="s">
        <v>917</v>
      </c>
      <c r="D50" s="782">
        <v>132</v>
      </c>
      <c r="E50" s="782" t="s">
        <v>13</v>
      </c>
      <c r="F50" s="784">
        <f>'Generation Reading'!K535</f>
        <v>16841999.999999933</v>
      </c>
      <c r="G50" s="784">
        <f>'Generation Reading'!K536</f>
        <v>40175.999999999309</v>
      </c>
      <c r="H50" s="929">
        <f t="shared" si="0"/>
        <v>16801823.999999933</v>
      </c>
      <c r="I50" s="1104">
        <v>13979376.000000071</v>
      </c>
      <c r="J50" s="925"/>
      <c r="K50" s="779" t="s">
        <v>918</v>
      </c>
      <c r="L50" s="780"/>
    </row>
    <row r="51" spans="1:12" s="9" customFormat="1" ht="12.95" customHeight="1" x14ac:dyDescent="0.2">
      <c r="A51" s="1408">
        <f t="shared" si="3"/>
        <v>28</v>
      </c>
      <c r="B51" s="1411"/>
      <c r="C51" s="786" t="s">
        <v>1007</v>
      </c>
      <c r="D51" s="782">
        <v>132</v>
      </c>
      <c r="E51" s="782" t="s">
        <v>13</v>
      </c>
      <c r="F51" s="795">
        <f>'Generation Reading'!K805</f>
        <v>2507615.9999999437</v>
      </c>
      <c r="G51" s="795">
        <f>'Generation Reading'!K806</f>
        <v>15071.999999999833</v>
      </c>
      <c r="H51" s="929">
        <f t="shared" si="0"/>
        <v>2492543.9999999437</v>
      </c>
      <c r="I51" s="1104">
        <v>2545440.0000000773</v>
      </c>
      <c r="J51" s="925"/>
      <c r="K51" s="779" t="s">
        <v>1005</v>
      </c>
      <c r="L51" s="780"/>
    </row>
    <row r="52" spans="1:12" s="9" customFormat="1" ht="12.95" customHeight="1" x14ac:dyDescent="0.2">
      <c r="A52" s="1408">
        <f t="shared" si="3"/>
        <v>29</v>
      </c>
      <c r="B52" s="1411"/>
      <c r="C52" s="786" t="s">
        <v>1004</v>
      </c>
      <c r="D52" s="782">
        <v>132</v>
      </c>
      <c r="E52" s="782" t="s">
        <v>13</v>
      </c>
      <c r="F52" s="784">
        <f>'Generation Reading'!K752</f>
        <v>1867103.999999963</v>
      </c>
      <c r="G52" s="784">
        <f>'Generation Reading'!K753</f>
        <v>54240.000000000211</v>
      </c>
      <c r="H52" s="929">
        <f t="shared" si="0"/>
        <v>1812863.9999999627</v>
      </c>
      <c r="I52" s="1104">
        <v>2353248.0000000014</v>
      </c>
      <c r="J52" s="925"/>
      <c r="K52" s="779" t="s">
        <v>1005</v>
      </c>
      <c r="L52" s="780"/>
    </row>
    <row r="53" spans="1:12" s="9" customFormat="1" ht="12.95" customHeight="1" x14ac:dyDescent="0.2">
      <c r="A53" s="1408">
        <f t="shared" si="3"/>
        <v>30</v>
      </c>
      <c r="B53" s="1411"/>
      <c r="C53" s="786" t="s">
        <v>967</v>
      </c>
      <c r="D53" s="782">
        <v>132</v>
      </c>
      <c r="E53" s="782" t="s">
        <v>13</v>
      </c>
      <c r="F53" s="784">
        <f>'Generation Reading'!K1060</f>
        <v>325919.99999998731</v>
      </c>
      <c r="G53" s="784">
        <f>'Generation Reading'!K1061</f>
        <v>90720.000000000029</v>
      </c>
      <c r="H53" s="929">
        <f t="shared" si="0"/>
        <v>235199.99999998728</v>
      </c>
      <c r="I53" s="1104">
        <v>911040.00000001013</v>
      </c>
      <c r="J53" s="925"/>
      <c r="K53" s="779" t="s">
        <v>968</v>
      </c>
      <c r="L53" s="780"/>
    </row>
    <row r="54" spans="1:12" s="9" customFormat="1" ht="12.95" customHeight="1" x14ac:dyDescent="0.2">
      <c r="A54" s="1408">
        <f t="shared" si="3"/>
        <v>31</v>
      </c>
      <c r="B54" s="1411"/>
      <c r="C54" s="786" t="s">
        <v>969</v>
      </c>
      <c r="D54" s="782">
        <v>132</v>
      </c>
      <c r="E54" s="782" t="s">
        <v>13</v>
      </c>
      <c r="F54" s="784">
        <f>'Generation Reading'!K1063</f>
        <v>176639.99999997031</v>
      </c>
      <c r="G54" s="784">
        <f>'Generation Reading'!K1064</f>
        <v>143040.00000000003</v>
      </c>
      <c r="H54" s="929">
        <f t="shared" si="0"/>
        <v>33599.999999970285</v>
      </c>
      <c r="I54" s="1104">
        <v>910080.00000000722</v>
      </c>
      <c r="J54" s="925"/>
      <c r="K54" s="779" t="s">
        <v>970</v>
      </c>
      <c r="L54" s="780"/>
    </row>
    <row r="55" spans="1:12" s="9" customFormat="1" ht="12.95" customHeight="1" x14ac:dyDescent="0.2">
      <c r="A55" s="1408">
        <f>A54+1</f>
        <v>32</v>
      </c>
      <c r="B55" s="781" t="s">
        <v>748</v>
      </c>
      <c r="C55" s="786" t="s">
        <v>755</v>
      </c>
      <c r="D55" s="782">
        <v>132</v>
      </c>
      <c r="E55" s="782" t="s">
        <v>13</v>
      </c>
      <c r="F55" s="784">
        <f>'Generation Reading'!K922</f>
        <v>0</v>
      </c>
      <c r="G55" s="784">
        <f>'Generation Reading'!K925</f>
        <v>0</v>
      </c>
      <c r="H55" s="929">
        <f t="shared" si="0"/>
        <v>0</v>
      </c>
      <c r="I55" s="1104">
        <v>0</v>
      </c>
      <c r="J55" s="925"/>
      <c r="K55" s="779"/>
      <c r="L55" s="780"/>
    </row>
    <row r="56" spans="1:12" s="9" customFormat="1" ht="12.95" customHeight="1" x14ac:dyDescent="0.2">
      <c r="A56" s="1408"/>
      <c r="B56" s="781" t="s">
        <v>749</v>
      </c>
      <c r="C56" s="786" t="s">
        <v>756</v>
      </c>
      <c r="D56" s="782">
        <v>132</v>
      </c>
      <c r="E56" s="782" t="s">
        <v>13</v>
      </c>
      <c r="F56" s="784">
        <f>'Generation Reading'!K928</f>
        <v>0</v>
      </c>
      <c r="G56" s="784">
        <f>'Generation Reading'!K931</f>
        <v>0</v>
      </c>
      <c r="H56" s="929">
        <f t="shared" si="0"/>
        <v>0</v>
      </c>
      <c r="I56" s="1104">
        <v>0</v>
      </c>
      <c r="J56" s="925"/>
      <c r="K56" s="779"/>
      <c r="L56" s="780"/>
    </row>
    <row r="57" spans="1:12" s="9" customFormat="1" ht="12.95" customHeight="1" x14ac:dyDescent="0.2">
      <c r="A57" s="1408">
        <f>A55+1</f>
        <v>33</v>
      </c>
      <c r="B57" s="1411"/>
      <c r="C57" s="786" t="s">
        <v>1003</v>
      </c>
      <c r="D57" s="782">
        <v>132</v>
      </c>
      <c r="E57" s="782" t="s">
        <v>13</v>
      </c>
      <c r="F57" s="784">
        <f>'Generation Reading'!K762</f>
        <v>9046800.0000000391</v>
      </c>
      <c r="G57" s="784">
        <f>'Generation Reading'!K763</f>
        <v>157679.99999999959</v>
      </c>
      <c r="H57" s="929">
        <f t="shared" si="0"/>
        <v>8889120.0000000391</v>
      </c>
      <c r="I57" s="1104">
        <v>8704079.999999769</v>
      </c>
      <c r="J57" s="925"/>
      <c r="K57" s="779" t="s">
        <v>848</v>
      </c>
      <c r="L57" s="780"/>
    </row>
    <row r="58" spans="1:12" s="9" customFormat="1" ht="12.95" customHeight="1" x14ac:dyDescent="0.2">
      <c r="A58" s="1448" t="s">
        <v>757</v>
      </c>
      <c r="B58" s="1449"/>
      <c r="C58" s="1449"/>
      <c r="D58" s="782"/>
      <c r="E58" s="783"/>
      <c r="F58" s="793">
        <f>SUM(F45:F57)</f>
        <v>57495071.999999821</v>
      </c>
      <c r="G58" s="793">
        <f t="shared" ref="G58:H58" si="4">SUM(G45:G57)</f>
        <v>1029095.9999999986</v>
      </c>
      <c r="H58" s="793">
        <f t="shared" si="4"/>
        <v>56465975.999999821</v>
      </c>
      <c r="I58" s="1106">
        <v>69698184.00000006</v>
      </c>
      <c r="J58" s="925"/>
      <c r="K58" s="794">
        <f>F58-G58</f>
        <v>56465975.999999821</v>
      </c>
      <c r="L58" s="780"/>
    </row>
    <row r="59" spans="1:12" s="9" customFormat="1" ht="12.95" customHeight="1" x14ac:dyDescent="0.2">
      <c r="A59" s="1408">
        <f>A57+1</f>
        <v>34</v>
      </c>
      <c r="B59" s="1411"/>
      <c r="C59" s="786" t="s">
        <v>1379</v>
      </c>
      <c r="D59" s="782">
        <v>132</v>
      </c>
      <c r="E59" s="782" t="s">
        <v>12</v>
      </c>
      <c r="F59" s="784">
        <f>'Generation Reading'!K1009</f>
        <v>-42263.999999999869</v>
      </c>
      <c r="G59" s="784">
        <f>'Generation Reading'!K1014</f>
        <v>0</v>
      </c>
      <c r="H59" s="929">
        <f t="shared" si="0"/>
        <v>-42263.999999999869</v>
      </c>
      <c r="I59" s="1104">
        <v>-44280.000000000276</v>
      </c>
      <c r="J59" s="925"/>
      <c r="K59" s="779" t="s">
        <v>964</v>
      </c>
      <c r="L59" s="780"/>
    </row>
    <row r="60" spans="1:12" s="9" customFormat="1" ht="12.95" customHeight="1" x14ac:dyDescent="0.2">
      <c r="A60" s="1408">
        <f>A59+1</f>
        <v>35</v>
      </c>
      <c r="B60" s="1411"/>
      <c r="C60" s="786" t="s">
        <v>1028</v>
      </c>
      <c r="D60" s="782">
        <v>132</v>
      </c>
      <c r="E60" s="782" t="s">
        <v>12</v>
      </c>
      <c r="F60" s="784">
        <f>'Generation Reading'!K875</f>
        <v>2000</v>
      </c>
      <c r="G60" s="784">
        <f>'Generation Reading'!K876</f>
        <v>18420</v>
      </c>
      <c r="H60" s="929">
        <f t="shared" si="0"/>
        <v>-16420</v>
      </c>
      <c r="I60" s="1104">
        <v>-17440</v>
      </c>
      <c r="J60" s="925"/>
      <c r="K60" s="779" t="s">
        <v>953</v>
      </c>
      <c r="L60" s="780"/>
    </row>
    <row r="61" spans="1:12" s="9" customFormat="1" ht="12.95" customHeight="1" x14ac:dyDescent="0.2">
      <c r="A61" s="1408">
        <f t="shared" ref="A61:A64" si="5">A60+1</f>
        <v>36</v>
      </c>
      <c r="B61" s="1411"/>
      <c r="C61" s="786" t="s">
        <v>1025</v>
      </c>
      <c r="D61" s="782">
        <v>132</v>
      </c>
      <c r="E61" s="782" t="s">
        <v>12</v>
      </c>
      <c r="F61" s="784">
        <f>'Generation Reading'!K872</f>
        <v>26000</v>
      </c>
      <c r="G61" s="784">
        <f>'Generation Reading'!K873</f>
        <v>23765</v>
      </c>
      <c r="H61" s="929">
        <f t="shared" si="0"/>
        <v>2235</v>
      </c>
      <c r="I61" s="1104">
        <v>10302</v>
      </c>
      <c r="J61" s="925"/>
      <c r="K61" s="779" t="s">
        <v>953</v>
      </c>
      <c r="L61" s="780"/>
    </row>
    <row r="62" spans="1:12" s="9" customFormat="1" ht="12.95" customHeight="1" x14ac:dyDescent="0.2">
      <c r="A62" s="1408">
        <f t="shared" si="5"/>
        <v>37</v>
      </c>
      <c r="B62" s="1411"/>
      <c r="C62" s="786" t="s">
        <v>982</v>
      </c>
      <c r="D62" s="782">
        <v>132</v>
      </c>
      <c r="E62" s="782" t="s">
        <v>12</v>
      </c>
      <c r="F62" s="784">
        <f>'Generation Reading'!K1041</f>
        <v>0</v>
      </c>
      <c r="G62" s="784">
        <f>'Generation Reading'!K1042</f>
        <v>0</v>
      </c>
      <c r="H62" s="929">
        <f t="shared" si="0"/>
        <v>0</v>
      </c>
      <c r="I62" s="1104">
        <v>0</v>
      </c>
      <c r="J62" s="925"/>
      <c r="K62" s="779" t="s">
        <v>983</v>
      </c>
      <c r="L62" s="780"/>
    </row>
    <row r="63" spans="1:12" s="9" customFormat="1" ht="12.95" customHeight="1" x14ac:dyDescent="0.2">
      <c r="A63" s="1408">
        <f t="shared" si="5"/>
        <v>38</v>
      </c>
      <c r="B63" s="1411"/>
      <c r="C63" s="786" t="s">
        <v>758</v>
      </c>
      <c r="D63" s="782">
        <v>132</v>
      </c>
      <c r="E63" s="782" t="s">
        <v>12</v>
      </c>
      <c r="F63" s="784">
        <f>'Generation Reading'!K1031</f>
        <v>0</v>
      </c>
      <c r="G63" s="784">
        <f>'Generation Reading'!K1033</f>
        <v>0</v>
      </c>
      <c r="H63" s="929">
        <f t="shared" si="0"/>
        <v>0</v>
      </c>
      <c r="I63" s="1104">
        <v>0</v>
      </c>
      <c r="J63" s="925"/>
      <c r="K63" s="779"/>
      <c r="L63" s="780"/>
    </row>
    <row r="64" spans="1:12" s="9" customFormat="1" ht="12.95" customHeight="1" x14ac:dyDescent="0.2">
      <c r="A64" s="1408">
        <f t="shared" si="5"/>
        <v>39</v>
      </c>
      <c r="B64" s="1411"/>
      <c r="C64" s="786" t="s">
        <v>759</v>
      </c>
      <c r="D64" s="782">
        <v>132</v>
      </c>
      <c r="E64" s="782" t="s">
        <v>12</v>
      </c>
      <c r="F64" s="795">
        <v>0</v>
      </c>
      <c r="G64" s="795">
        <v>0</v>
      </c>
      <c r="H64" s="929">
        <f t="shared" si="0"/>
        <v>0</v>
      </c>
      <c r="I64" s="1104">
        <v>0</v>
      </c>
      <c r="J64" s="925"/>
      <c r="K64" s="779"/>
      <c r="L64" s="780"/>
    </row>
    <row r="65" spans="1:12" s="9" customFormat="1" ht="12.95" customHeight="1" x14ac:dyDescent="0.2">
      <c r="A65" s="1448" t="s">
        <v>760</v>
      </c>
      <c r="B65" s="1449"/>
      <c r="C65" s="1449"/>
      <c r="D65" s="781"/>
      <c r="E65" s="783"/>
      <c r="F65" s="793">
        <f>SUM(F59:F64)</f>
        <v>-14263.999999999869</v>
      </c>
      <c r="G65" s="793">
        <f t="shared" ref="G65:H65" si="6">SUM(G59:G64)</f>
        <v>42185</v>
      </c>
      <c r="H65" s="930">
        <f t="shared" si="6"/>
        <v>-56448.999999999869</v>
      </c>
      <c r="I65" s="1106">
        <v>-51418.000000000276</v>
      </c>
      <c r="J65" s="925"/>
      <c r="K65" s="794">
        <f>F65-G65</f>
        <v>-56448.999999999869</v>
      </c>
      <c r="L65" s="780"/>
    </row>
    <row r="66" spans="1:12" s="9" customFormat="1" ht="12.95" customHeight="1" x14ac:dyDescent="0.2">
      <c r="A66" s="1446" t="s">
        <v>761</v>
      </c>
      <c r="B66" s="1447"/>
      <c r="C66" s="1447"/>
      <c r="D66" s="781"/>
      <c r="E66" s="783"/>
      <c r="F66" s="795"/>
      <c r="G66" s="795"/>
      <c r="H66" s="929">
        <f t="shared" si="0"/>
        <v>0</v>
      </c>
      <c r="I66" s="1104">
        <v>0</v>
      </c>
      <c r="J66" s="925"/>
      <c r="K66" s="779"/>
      <c r="L66" s="780"/>
    </row>
    <row r="67" spans="1:12" s="9" customFormat="1" ht="12.95" customHeight="1" x14ac:dyDescent="0.2">
      <c r="A67" s="1408">
        <f>A64+1</f>
        <v>40</v>
      </c>
      <c r="B67" s="781" t="s">
        <v>748</v>
      </c>
      <c r="C67" s="786" t="s">
        <v>762</v>
      </c>
      <c r="D67" s="783">
        <v>33</v>
      </c>
      <c r="E67" s="782" t="s">
        <v>12</v>
      </c>
      <c r="F67" s="784">
        <f>'Generation Reading'!K372</f>
        <v>0</v>
      </c>
      <c r="G67" s="795">
        <v>0</v>
      </c>
      <c r="H67" s="929">
        <f t="shared" si="0"/>
        <v>0</v>
      </c>
      <c r="I67" s="1104">
        <v>0</v>
      </c>
      <c r="J67" s="925"/>
      <c r="K67" s="779"/>
      <c r="L67" s="780"/>
    </row>
    <row r="68" spans="1:12" s="9" customFormat="1" ht="12.95" customHeight="1" x14ac:dyDescent="0.2">
      <c r="A68" s="1408"/>
      <c r="B68" s="781" t="s">
        <v>749</v>
      </c>
      <c r="C68" s="786" t="s">
        <v>763</v>
      </c>
      <c r="D68" s="783">
        <v>33</v>
      </c>
      <c r="E68" s="782" t="s">
        <v>12</v>
      </c>
      <c r="F68" s="784">
        <f>'Generation Reading'!K581</f>
        <v>0</v>
      </c>
      <c r="G68" s="784">
        <f>'Generation Reading'!K586</f>
        <v>0</v>
      </c>
      <c r="H68" s="929">
        <f t="shared" si="0"/>
        <v>0</v>
      </c>
      <c r="I68" s="1104">
        <v>0</v>
      </c>
      <c r="J68" s="925"/>
      <c r="K68" s="779"/>
      <c r="L68" s="780"/>
    </row>
    <row r="69" spans="1:12" s="9" customFormat="1" ht="12.95" customHeight="1" x14ac:dyDescent="0.2">
      <c r="A69" s="1408"/>
      <c r="B69" s="781" t="s">
        <v>750</v>
      </c>
      <c r="C69" s="786" t="s">
        <v>764</v>
      </c>
      <c r="D69" s="783">
        <v>33</v>
      </c>
      <c r="E69" s="782" t="s">
        <v>12</v>
      </c>
      <c r="F69" s="795"/>
      <c r="G69" s="795"/>
      <c r="H69" s="929">
        <f t="shared" si="0"/>
        <v>0</v>
      </c>
      <c r="I69" s="1104">
        <v>0</v>
      </c>
      <c r="J69" s="925"/>
      <c r="K69" s="779"/>
      <c r="L69" s="780"/>
    </row>
    <row r="70" spans="1:12" s="9" customFormat="1" ht="12.95" customHeight="1" x14ac:dyDescent="0.2">
      <c r="A70" s="1408"/>
      <c r="B70" s="781" t="s">
        <v>751</v>
      </c>
      <c r="C70" s="786" t="s">
        <v>765</v>
      </c>
      <c r="D70" s="783">
        <v>33</v>
      </c>
      <c r="E70" s="782" t="s">
        <v>12</v>
      </c>
      <c r="F70" s="784">
        <f>'Generation Reading'!K364</f>
        <v>0</v>
      </c>
      <c r="G70" s="784">
        <f>'Generation Reading'!K365</f>
        <v>0</v>
      </c>
      <c r="H70" s="929">
        <f t="shared" si="0"/>
        <v>0</v>
      </c>
      <c r="I70" s="1104">
        <v>0</v>
      </c>
      <c r="J70" s="925"/>
      <c r="K70" s="779"/>
      <c r="L70" s="780"/>
    </row>
    <row r="71" spans="1:12" s="9" customFormat="1" ht="12.95" customHeight="1" x14ac:dyDescent="0.2">
      <c r="A71" s="1408"/>
      <c r="B71" s="781" t="s">
        <v>768</v>
      </c>
      <c r="C71" s="786" t="s">
        <v>766</v>
      </c>
      <c r="D71" s="783">
        <v>33</v>
      </c>
      <c r="E71" s="782" t="s">
        <v>12</v>
      </c>
      <c r="F71" s="795"/>
      <c r="G71" s="795"/>
      <c r="H71" s="929">
        <f t="shared" si="0"/>
        <v>0</v>
      </c>
      <c r="I71" s="1104">
        <v>0</v>
      </c>
      <c r="J71" s="925"/>
      <c r="K71" s="779"/>
      <c r="L71" s="780"/>
    </row>
    <row r="72" spans="1:12" s="9" customFormat="1" ht="12.95" customHeight="1" x14ac:dyDescent="0.2">
      <c r="A72" s="1408"/>
      <c r="B72" s="781" t="s">
        <v>769</v>
      </c>
      <c r="C72" s="786" t="s">
        <v>767</v>
      </c>
      <c r="D72" s="783">
        <v>33</v>
      </c>
      <c r="E72" s="782" t="s">
        <v>12</v>
      </c>
      <c r="F72" s="795"/>
      <c r="G72" s="795"/>
      <c r="H72" s="929">
        <f t="shared" si="0"/>
        <v>0</v>
      </c>
      <c r="I72" s="1104">
        <v>0</v>
      </c>
      <c r="J72" s="925"/>
      <c r="K72" s="779"/>
      <c r="L72" s="780"/>
    </row>
    <row r="73" spans="1:12" s="9" customFormat="1" ht="12.95" customHeight="1" x14ac:dyDescent="0.2">
      <c r="A73" s="1451" t="s">
        <v>770</v>
      </c>
      <c r="B73" s="1439"/>
      <c r="C73" s="1439"/>
      <c r="D73" s="781"/>
      <c r="E73" s="783"/>
      <c r="F73" s="793">
        <f>SUM(F67:F72)</f>
        <v>0</v>
      </c>
      <c r="G73" s="793">
        <f t="shared" ref="G73:H73" si="7">SUM(G67:G72)</f>
        <v>0</v>
      </c>
      <c r="H73" s="930">
        <f t="shared" si="7"/>
        <v>0</v>
      </c>
      <c r="I73" s="1106">
        <v>0</v>
      </c>
      <c r="J73" s="925"/>
      <c r="K73" s="794">
        <f>F73-G73</f>
        <v>0</v>
      </c>
      <c r="L73" s="780"/>
    </row>
    <row r="74" spans="1:12" s="9" customFormat="1" ht="12.95" customHeight="1" x14ac:dyDescent="0.2">
      <c r="A74" s="1448" t="s">
        <v>771</v>
      </c>
      <c r="B74" s="1449"/>
      <c r="C74" s="1449"/>
      <c r="D74" s="781"/>
      <c r="E74" s="783"/>
      <c r="F74" s="793">
        <f>F73+F65+F58</f>
        <v>57480807.999999821</v>
      </c>
      <c r="G74" s="793">
        <f t="shared" ref="G74" si="8">G73+G65+G58</f>
        <v>1071280.9999999986</v>
      </c>
      <c r="H74" s="930">
        <f>H73+H65+H58</f>
        <v>56409526.999999821</v>
      </c>
      <c r="I74" s="1106">
        <v>69646766.00000006</v>
      </c>
      <c r="J74" s="925"/>
      <c r="K74" s="779"/>
      <c r="L74" s="780"/>
    </row>
    <row r="75" spans="1:12" s="9" customFormat="1" ht="12.95" customHeight="1" x14ac:dyDescent="0.2">
      <c r="A75" s="1408">
        <f>A67+1</f>
        <v>41</v>
      </c>
      <c r="B75" s="1411"/>
      <c r="C75" s="786" t="s">
        <v>474</v>
      </c>
      <c r="D75" s="782">
        <v>11</v>
      </c>
      <c r="E75" s="783" t="s">
        <v>471</v>
      </c>
      <c r="F75" s="784">
        <f>'Generation Reading'!K588</f>
        <v>0</v>
      </c>
      <c r="G75" s="784">
        <f>'Generation Reading'!K589</f>
        <v>0</v>
      </c>
      <c r="H75" s="929">
        <f t="shared" si="0"/>
        <v>0</v>
      </c>
      <c r="I75" s="1104">
        <v>0</v>
      </c>
      <c r="J75" s="925"/>
      <c r="K75" s="779"/>
      <c r="L75" s="780"/>
    </row>
    <row r="76" spans="1:12" s="9" customFormat="1" ht="12.95" customHeight="1" x14ac:dyDescent="0.2">
      <c r="A76" s="1408">
        <f>A75+1</f>
        <v>42</v>
      </c>
      <c r="B76" s="1411"/>
      <c r="C76" s="786" t="s">
        <v>772</v>
      </c>
      <c r="D76" s="782">
        <v>11</v>
      </c>
      <c r="E76" s="783" t="s">
        <v>471</v>
      </c>
      <c r="F76" s="784">
        <f>'Generation Reading'!K366+'Generation Reading'!K367+'Generation Reading'!K368</f>
        <v>0</v>
      </c>
      <c r="G76" s="795">
        <v>0</v>
      </c>
      <c r="H76" s="929">
        <f t="shared" si="0"/>
        <v>0</v>
      </c>
      <c r="I76" s="1104">
        <v>0</v>
      </c>
      <c r="J76" s="925"/>
      <c r="K76" s="779"/>
      <c r="L76" s="780"/>
    </row>
    <row r="77" spans="1:12" s="9" customFormat="1" ht="12.95" customHeight="1" x14ac:dyDescent="0.2">
      <c r="A77" s="1444" t="s">
        <v>773</v>
      </c>
      <c r="B77" s="1445"/>
      <c r="C77" s="1445"/>
      <c r="D77" s="781"/>
      <c r="E77" s="783"/>
      <c r="F77" s="793">
        <f>SUM(F75:F76)</f>
        <v>0</v>
      </c>
      <c r="G77" s="793">
        <f>SUM(G75:G76)</f>
        <v>0</v>
      </c>
      <c r="H77" s="930">
        <f t="shared" si="0"/>
        <v>0</v>
      </c>
      <c r="I77" s="1106">
        <v>0</v>
      </c>
      <c r="J77" s="925"/>
      <c r="K77" s="794">
        <f>F77-G77</f>
        <v>0</v>
      </c>
      <c r="L77" s="780"/>
    </row>
    <row r="78" spans="1:12" s="9" customFormat="1" ht="12.95" customHeight="1" x14ac:dyDescent="0.2">
      <c r="A78" s="1362">
        <f>A76+1</f>
        <v>43</v>
      </c>
      <c r="B78" s="1363"/>
      <c r="C78" s="796" t="s">
        <v>1608</v>
      </c>
      <c r="D78" s="783">
        <v>132</v>
      </c>
      <c r="E78" s="783" t="s">
        <v>590</v>
      </c>
      <c r="F78" s="784">
        <f>'Generation Reading'!K1035</f>
        <v>99406.50000000096</v>
      </c>
      <c r="G78" s="784">
        <f>'Generation Reading'!K1036+'Generation Reading'!K1037</f>
        <v>10092.500000000027</v>
      </c>
      <c r="H78" s="929">
        <f t="shared" si="0"/>
        <v>89314.000000000931</v>
      </c>
      <c r="I78" s="1106">
        <v>106273.00000000132</v>
      </c>
      <c r="J78" s="1211"/>
      <c r="K78" s="794"/>
      <c r="L78" s="780"/>
    </row>
    <row r="79" spans="1:12" s="9" customFormat="1" ht="12.95" customHeight="1" x14ac:dyDescent="0.2">
      <c r="A79" s="1362">
        <f>A78+1</f>
        <v>44</v>
      </c>
      <c r="B79" s="1363"/>
      <c r="C79" s="796" t="s">
        <v>876</v>
      </c>
      <c r="D79" s="782">
        <v>11</v>
      </c>
      <c r="E79" s="783" t="s">
        <v>590</v>
      </c>
      <c r="F79" s="784">
        <f>'Generation Reading'!K398</f>
        <v>597987.60000000033</v>
      </c>
      <c r="G79" s="784">
        <f>'Generation Reading'!K399</f>
        <v>4599.6000000000658</v>
      </c>
      <c r="H79" s="929">
        <f t="shared" ref="H79:H113" si="9">F79-G79</f>
        <v>593388.00000000023</v>
      </c>
      <c r="I79" s="1104">
        <v>746724.00000000151</v>
      </c>
      <c r="J79" s="925"/>
      <c r="K79" s="794">
        <f>F79-G79</f>
        <v>593388.00000000023</v>
      </c>
      <c r="L79" s="780"/>
    </row>
    <row r="80" spans="1:12" s="9" customFormat="1" ht="12.95" customHeight="1" x14ac:dyDescent="0.2">
      <c r="A80" s="1364" t="s">
        <v>1613</v>
      </c>
      <c r="B80" s="1365"/>
      <c r="C80" s="1366"/>
      <c r="D80" s="1202"/>
      <c r="E80" s="1203"/>
      <c r="F80" s="1205">
        <f>SUM(F78:F79)</f>
        <v>697394.10000000126</v>
      </c>
      <c r="G80" s="1205">
        <f>SUM(G78:G79)</f>
        <v>14692.100000000093</v>
      </c>
      <c r="H80" s="1205">
        <f>SUM(H78:H79)</f>
        <v>682702.00000000116</v>
      </c>
      <c r="I80" s="1204">
        <v>852997.00000000279</v>
      </c>
      <c r="J80" s="924"/>
      <c r="K80" s="794"/>
      <c r="L80" s="780"/>
    </row>
    <row r="81" spans="1:12" s="9" customFormat="1" ht="12.95" customHeight="1" x14ac:dyDescent="0.2">
      <c r="A81" s="1440" t="s">
        <v>774</v>
      </c>
      <c r="B81" s="1441"/>
      <c r="C81" s="1441"/>
      <c r="D81" s="797"/>
      <c r="E81" s="798"/>
      <c r="F81" s="799">
        <f>F74+F77+F44+F40+F38+F80</f>
        <v>1241369401.2567317</v>
      </c>
      <c r="G81" s="799">
        <f>G74+G77+G44+G40+G38+G80</f>
        <v>19840049.537534118</v>
      </c>
      <c r="H81" s="931">
        <f>H74+H77+H44+H40+H38+H80</f>
        <v>1221529351.7191978</v>
      </c>
      <c r="I81" s="1107">
        <v>1063074229.4648232</v>
      </c>
      <c r="J81" s="924"/>
      <c r="K81" s="780"/>
      <c r="L81" s="780"/>
    </row>
    <row r="82" spans="1:12" s="9" customFormat="1" ht="11.25" x14ac:dyDescent="0.2">
      <c r="A82" s="1376"/>
      <c r="B82" s="1377"/>
      <c r="C82" s="1377"/>
      <c r="D82" s="1377"/>
      <c r="E82" s="1377"/>
      <c r="F82" s="1377"/>
      <c r="G82" s="1377"/>
      <c r="H82" s="1377"/>
      <c r="I82" s="1377"/>
      <c r="J82" s="1378"/>
      <c r="K82" s="780"/>
      <c r="L82" s="780"/>
    </row>
    <row r="83" spans="1:12" ht="14.1" customHeight="1" x14ac:dyDescent="0.2">
      <c r="A83" s="1455" t="s">
        <v>1154</v>
      </c>
      <c r="B83" s="1456"/>
      <c r="C83" s="1456"/>
      <c r="D83" s="1456"/>
      <c r="E83" s="1456"/>
      <c r="F83" s="1456"/>
      <c r="G83" s="1456"/>
      <c r="H83" s="1456"/>
      <c r="I83" s="1456"/>
      <c r="J83" s="1457"/>
      <c r="K83" s="520"/>
      <c r="L83" s="520"/>
    </row>
    <row r="84" spans="1:12" ht="12.95" customHeight="1" x14ac:dyDescent="0.2">
      <c r="A84" s="1367">
        <f>A79+1</f>
        <v>45</v>
      </c>
      <c r="B84" s="650" t="s">
        <v>748</v>
      </c>
      <c r="C84" s="652" t="s">
        <v>898</v>
      </c>
      <c r="D84" s="774">
        <v>132</v>
      </c>
      <c r="E84" s="774" t="s">
        <v>10</v>
      </c>
      <c r="F84" s="651">
        <f>'Generation Reading'!K432</f>
        <v>0</v>
      </c>
      <c r="G84" s="1442">
        <f>'Generation Reading'!K450</f>
        <v>186493.59999998755</v>
      </c>
      <c r="H84" s="1086">
        <f>F84+F85+F86-G84</f>
        <v>-186493.59999998755</v>
      </c>
      <c r="I84" s="1108">
        <v>-197498.89999999868</v>
      </c>
      <c r="J84" s="1452"/>
      <c r="K84" s="436" t="s">
        <v>884</v>
      </c>
      <c r="L84" s="520"/>
    </row>
    <row r="85" spans="1:12" ht="12.95" customHeight="1" x14ac:dyDescent="0.2">
      <c r="A85" s="1367"/>
      <c r="B85" s="650" t="s">
        <v>749</v>
      </c>
      <c r="C85" s="652" t="s">
        <v>908</v>
      </c>
      <c r="D85" s="774">
        <v>132</v>
      </c>
      <c r="E85" s="774" t="s">
        <v>10</v>
      </c>
      <c r="F85" s="651">
        <f>'Generation Reading'!K433</f>
        <v>0</v>
      </c>
      <c r="G85" s="1443"/>
      <c r="H85" s="1087"/>
      <c r="I85" s="1109"/>
      <c r="J85" s="1453"/>
      <c r="K85" s="436" t="s">
        <v>884</v>
      </c>
      <c r="L85" s="520"/>
    </row>
    <row r="86" spans="1:12" ht="12.95" customHeight="1" x14ac:dyDescent="0.2">
      <c r="A86" s="1367"/>
      <c r="B86" s="650" t="s">
        <v>750</v>
      </c>
      <c r="C86" s="652" t="s">
        <v>899</v>
      </c>
      <c r="D86" s="774">
        <v>132</v>
      </c>
      <c r="E86" s="774" t="s">
        <v>10</v>
      </c>
      <c r="F86" s="651">
        <f>'Generation Reading'!K434</f>
        <v>0</v>
      </c>
      <c r="G86" s="1443"/>
      <c r="H86" s="1088"/>
      <c r="I86" s="1110"/>
      <c r="J86" s="1454"/>
      <c r="K86" s="436" t="s">
        <v>884</v>
      </c>
      <c r="L86" s="520"/>
    </row>
    <row r="87" spans="1:12" ht="12.95" customHeight="1" x14ac:dyDescent="0.2">
      <c r="A87" s="1367">
        <f>A84+1</f>
        <v>46</v>
      </c>
      <c r="B87" s="1368"/>
      <c r="C87" s="652" t="s">
        <v>900</v>
      </c>
      <c r="D87" s="774">
        <v>132</v>
      </c>
      <c r="E87" s="774" t="s">
        <v>10</v>
      </c>
      <c r="F87" s="651">
        <f>'Generation Reading'!K452</f>
        <v>14842889.99999986</v>
      </c>
      <c r="G87" s="651">
        <f>'Generation Reading'!K453</f>
        <v>2393.9999999999363</v>
      </c>
      <c r="H87" s="932">
        <f>F87-G87</f>
        <v>14840495.99999986</v>
      </c>
      <c r="I87" s="384">
        <v>22867811.999999925</v>
      </c>
      <c r="J87" s="909"/>
      <c r="K87" s="436" t="s">
        <v>901</v>
      </c>
      <c r="L87" s="520"/>
    </row>
    <row r="88" spans="1:12" ht="12.95" customHeight="1" x14ac:dyDescent="0.2">
      <c r="A88" s="1367">
        <f>A87+1</f>
        <v>47</v>
      </c>
      <c r="B88" s="1368"/>
      <c r="C88" s="652" t="s">
        <v>902</v>
      </c>
      <c r="D88" s="774">
        <v>132</v>
      </c>
      <c r="E88" s="774" t="s">
        <v>10</v>
      </c>
      <c r="F88" s="651">
        <f>'Generation Reading'!K455+'Generation Reading'!K458</f>
        <v>144205678.70871985</v>
      </c>
      <c r="G88" s="651">
        <f>'Generation Reading'!K456+'Generation Reading'!K459</f>
        <v>0</v>
      </c>
      <c r="H88" s="932">
        <f t="shared" si="9"/>
        <v>144205678.70871985</v>
      </c>
      <c r="I88" s="384">
        <v>144200808.9732798</v>
      </c>
      <c r="J88" s="909"/>
      <c r="K88" s="436" t="s">
        <v>903</v>
      </c>
      <c r="L88" s="520"/>
    </row>
    <row r="89" spans="1:12" ht="12.95" customHeight="1" x14ac:dyDescent="0.2">
      <c r="A89" s="1367">
        <f>A88+1</f>
        <v>48</v>
      </c>
      <c r="B89" s="1368"/>
      <c r="C89" s="652" t="s">
        <v>904</v>
      </c>
      <c r="D89" s="774">
        <v>230</v>
      </c>
      <c r="E89" s="774" t="s">
        <v>10</v>
      </c>
      <c r="F89" s="651">
        <f>'Generation Reading'!K467</f>
        <v>238019823.9999992</v>
      </c>
      <c r="G89" s="651">
        <f>'Generation Reading'!K468</f>
        <v>229.99999999946397</v>
      </c>
      <c r="H89" s="932">
        <f t="shared" si="9"/>
        <v>238019593.9999992</v>
      </c>
      <c r="I89" s="384">
        <v>242383809.50000149</v>
      </c>
      <c r="J89" s="909"/>
      <c r="K89" s="436" t="s">
        <v>907</v>
      </c>
      <c r="L89" s="657"/>
    </row>
    <row r="90" spans="1:12" ht="12.95" customHeight="1" x14ac:dyDescent="0.2">
      <c r="A90" s="1367">
        <f>A89+1</f>
        <v>49</v>
      </c>
      <c r="B90" s="1368"/>
      <c r="C90" s="652" t="s">
        <v>905</v>
      </c>
      <c r="D90" s="774">
        <v>230</v>
      </c>
      <c r="E90" s="774" t="s">
        <v>10</v>
      </c>
      <c r="F90" s="651">
        <f>'Generation Reading'!K474</f>
        <v>200555272.70721918</v>
      </c>
      <c r="G90" s="651">
        <f>'Generation Reading'!K475</f>
        <v>365090.9090544018</v>
      </c>
      <c r="H90" s="932">
        <f t="shared" si="9"/>
        <v>200190181.79816478</v>
      </c>
      <c r="I90" s="384">
        <v>222883636.34134686</v>
      </c>
      <c r="J90" s="909"/>
      <c r="K90" s="436" t="s">
        <v>906</v>
      </c>
      <c r="L90" s="520"/>
    </row>
    <row r="91" spans="1:12" ht="12.95" customHeight="1" x14ac:dyDescent="0.2">
      <c r="A91" s="1367">
        <f>A90+1</f>
        <v>50</v>
      </c>
      <c r="B91" s="1368"/>
      <c r="C91" s="652" t="s">
        <v>1382</v>
      </c>
      <c r="D91" s="774">
        <v>400</v>
      </c>
      <c r="E91" s="774" t="s">
        <v>10</v>
      </c>
      <c r="F91" s="740">
        <f>'Generation Reading'!K477+'Generation Reading'!K480</f>
        <v>0</v>
      </c>
      <c r="G91" s="740">
        <f>'Generation Reading'!K478+'Generation Reading'!K481</f>
        <v>697148.18202414887</v>
      </c>
      <c r="H91" s="932">
        <f t="shared" si="9"/>
        <v>-697148.18202414887</v>
      </c>
      <c r="I91" s="1111">
        <v>-746067.27294794994</v>
      </c>
      <c r="J91" s="910"/>
      <c r="K91" s="436"/>
      <c r="L91" s="520"/>
    </row>
    <row r="92" spans="1:12" ht="12.95" customHeight="1" x14ac:dyDescent="0.2">
      <c r="A92" s="1406" t="s">
        <v>775</v>
      </c>
      <c r="B92" s="1407"/>
      <c r="C92" s="1407"/>
      <c r="D92" s="660"/>
      <c r="E92" s="667"/>
      <c r="F92" s="668">
        <f>SUM(F84:F91)</f>
        <v>597623665.41593814</v>
      </c>
      <c r="G92" s="668">
        <f>SUM(G84:G91)</f>
        <v>1251356.6910785376</v>
      </c>
      <c r="H92" s="933">
        <f>SUM(H84:H91)</f>
        <v>596372308.7248596</v>
      </c>
      <c r="I92" s="1112">
        <v>631392500.64168012</v>
      </c>
      <c r="J92" s="911"/>
      <c r="K92" s="758">
        <f>F92-G92</f>
        <v>596372308.7248596</v>
      </c>
      <c r="L92" s="520"/>
    </row>
    <row r="93" spans="1:12" ht="16.5" customHeight="1" x14ac:dyDescent="0.2">
      <c r="A93" s="1429" t="s">
        <v>1155</v>
      </c>
      <c r="B93" s="1430"/>
      <c r="C93" s="1430"/>
      <c r="D93" s="1430"/>
      <c r="E93" s="1430"/>
      <c r="F93" s="1430"/>
      <c r="G93" s="1430"/>
      <c r="H93" s="1430"/>
      <c r="I93" s="1430"/>
      <c r="J93" s="1431"/>
      <c r="K93" s="757"/>
      <c r="L93" s="520">
        <f>H92+H102+H107+H111</f>
        <v>1530036454.0761757</v>
      </c>
    </row>
    <row r="94" spans="1:12" ht="14.1" customHeight="1" x14ac:dyDescent="0.2">
      <c r="A94" s="1379">
        <f>A90+1</f>
        <v>50</v>
      </c>
      <c r="B94" s="1380"/>
      <c r="C94" s="679" t="s">
        <v>836</v>
      </c>
      <c r="D94" s="775">
        <v>132</v>
      </c>
      <c r="E94" s="775" t="s">
        <v>10</v>
      </c>
      <c r="F94" s="680">
        <f>'Generation Reading'!K234+'Generation Reading'!K181</f>
        <v>9805334.4000000134</v>
      </c>
      <c r="G94" s="680">
        <f>'Generation Reading'!K237+'Generation Reading'!K184</f>
        <v>70713.59999999986</v>
      </c>
      <c r="H94" s="934">
        <f t="shared" si="9"/>
        <v>9734620.8000000138</v>
      </c>
      <c r="I94" s="1113">
        <v>1730582.3999999887</v>
      </c>
      <c r="J94" s="909"/>
      <c r="K94" s="436" t="s">
        <v>835</v>
      </c>
      <c r="L94" s="520">
        <f>30518000-1118696</f>
        <v>29399304</v>
      </c>
    </row>
    <row r="95" spans="1:12" ht="14.1" customHeight="1" x14ac:dyDescent="0.2">
      <c r="A95" s="1367">
        <f>A94+1</f>
        <v>51</v>
      </c>
      <c r="B95" s="1368"/>
      <c r="C95" s="658" t="s">
        <v>776</v>
      </c>
      <c r="D95" s="774">
        <v>132</v>
      </c>
      <c r="E95" s="774" t="s">
        <v>10</v>
      </c>
      <c r="F95" s="651">
        <f>'Generation Reading'!K115</f>
        <v>258568668.00000188</v>
      </c>
      <c r="G95" s="651">
        <f>'Generation Reading'!K116</f>
        <v>0</v>
      </c>
      <c r="H95" s="932">
        <f t="shared" si="9"/>
        <v>258568668.00000188</v>
      </c>
      <c r="I95" s="384">
        <v>258203879.9999983</v>
      </c>
      <c r="J95" s="909"/>
      <c r="K95" s="436" t="s">
        <v>834</v>
      </c>
      <c r="L95" s="520">
        <f>205328000-8107080</f>
        <v>197220920</v>
      </c>
    </row>
    <row r="96" spans="1:12" ht="14.1" customHeight="1" x14ac:dyDescent="0.2">
      <c r="A96" s="1367">
        <f t="shared" ref="A96:A101" si="10">+A95+1</f>
        <v>52</v>
      </c>
      <c r="B96" s="1368"/>
      <c r="C96" s="652" t="s">
        <v>1008</v>
      </c>
      <c r="D96" s="774">
        <v>132</v>
      </c>
      <c r="E96" s="774" t="s">
        <v>10</v>
      </c>
      <c r="F96" s="651">
        <f>'Generation Reading'!K814</f>
        <v>107706532.72727309</v>
      </c>
      <c r="G96" s="651">
        <f>'Generation Reading'!K815</f>
        <v>51039.090909090075</v>
      </c>
      <c r="H96" s="932">
        <f t="shared" si="9"/>
        <v>107655493.636364</v>
      </c>
      <c r="I96" s="384">
        <v>118468922.72727272</v>
      </c>
      <c r="J96" s="909"/>
      <c r="K96" s="436" t="s">
        <v>1009</v>
      </c>
      <c r="L96" s="520"/>
    </row>
    <row r="97" spans="1:12" ht="14.1" customHeight="1" x14ac:dyDescent="0.2">
      <c r="A97" s="1367">
        <f t="shared" si="10"/>
        <v>53</v>
      </c>
      <c r="B97" s="1368"/>
      <c r="C97" s="652" t="s">
        <v>965</v>
      </c>
      <c r="D97" s="774">
        <v>132</v>
      </c>
      <c r="E97" s="774" t="s">
        <v>10</v>
      </c>
      <c r="F97" s="651">
        <f>'Generation Reading'!K1022</f>
        <v>164718873.77599934</v>
      </c>
      <c r="G97" s="651">
        <f>'Generation Reading'!K1023</f>
        <v>1835481.6000000301</v>
      </c>
      <c r="H97" s="932">
        <f t="shared" si="9"/>
        <v>162883392.17599931</v>
      </c>
      <c r="I97" s="384">
        <v>102551312.87200013</v>
      </c>
      <c r="J97" s="909"/>
      <c r="K97" s="436" t="s">
        <v>966</v>
      </c>
      <c r="L97" s="520">
        <f>226170100-10743550</f>
        <v>215426550</v>
      </c>
    </row>
    <row r="98" spans="1:12" ht="14.1" customHeight="1" x14ac:dyDescent="0.2">
      <c r="A98" s="1367">
        <f t="shared" si="10"/>
        <v>54</v>
      </c>
      <c r="B98" s="1368"/>
      <c r="C98" s="652" t="s">
        <v>1010</v>
      </c>
      <c r="D98" s="774">
        <v>132</v>
      </c>
      <c r="E98" s="774" t="s">
        <v>10</v>
      </c>
      <c r="F98" s="651">
        <f>'Generation Reading'!K818</f>
        <v>116755276.36363657</v>
      </c>
      <c r="G98" s="651">
        <f>'Generation Reading'!K819</f>
        <v>35566.363636361719</v>
      </c>
      <c r="H98" s="932">
        <f t="shared" si="9"/>
        <v>116719710.00000021</v>
      </c>
      <c r="I98" s="384">
        <v>109621575.45454511</v>
      </c>
      <c r="J98" s="909"/>
      <c r="K98" s="436" t="s">
        <v>1009</v>
      </c>
      <c r="L98" s="520">
        <f>23510091-1268902</f>
        <v>22241189</v>
      </c>
    </row>
    <row r="99" spans="1:12" ht="14.1" customHeight="1" x14ac:dyDescent="0.2">
      <c r="A99" s="1367">
        <f t="shared" si="10"/>
        <v>55</v>
      </c>
      <c r="B99" s="1368"/>
      <c r="C99" s="652" t="s">
        <v>1285</v>
      </c>
      <c r="D99" s="774">
        <v>132</v>
      </c>
      <c r="E99" s="774" t="s">
        <v>10</v>
      </c>
      <c r="F99" s="651">
        <f>'Generation Reading'!K176</f>
        <v>158857270.00111592</v>
      </c>
      <c r="G99" s="651">
        <f>'Generation Reading'!K177</f>
        <v>374294.82580120955</v>
      </c>
      <c r="H99" s="932">
        <f t="shared" si="9"/>
        <v>158482975.17531469</v>
      </c>
      <c r="I99" s="384">
        <v>199091423.38884744</v>
      </c>
      <c r="J99" s="909"/>
      <c r="K99" s="436" t="s">
        <v>837</v>
      </c>
      <c r="L99" s="520">
        <v>-423826</v>
      </c>
    </row>
    <row r="100" spans="1:12" ht="14.1" customHeight="1" x14ac:dyDescent="0.2">
      <c r="A100" s="1367">
        <f t="shared" si="10"/>
        <v>56</v>
      </c>
      <c r="B100" s="1368"/>
      <c r="C100" s="652" t="s">
        <v>1011</v>
      </c>
      <c r="D100" s="777">
        <v>132</v>
      </c>
      <c r="E100" s="774" t="s">
        <v>10</v>
      </c>
      <c r="F100" s="651">
        <f>'Generation Reading'!K821</f>
        <v>34829443.636363856</v>
      </c>
      <c r="G100" s="651">
        <f>'Generation Reading'!K822</f>
        <v>221427.27272727297</v>
      </c>
      <c r="H100" s="932">
        <f t="shared" si="9"/>
        <v>34608016.363636583</v>
      </c>
      <c r="I100" s="384">
        <v>19494130.909091238</v>
      </c>
      <c r="J100" s="909"/>
      <c r="K100" s="436" t="s">
        <v>1012</v>
      </c>
      <c r="L100" s="520">
        <f>83336209-3406860</f>
        <v>79929349</v>
      </c>
    </row>
    <row r="101" spans="1:12" ht="14.1" customHeight="1" x14ac:dyDescent="0.2">
      <c r="A101" s="1367">
        <f t="shared" si="10"/>
        <v>57</v>
      </c>
      <c r="B101" s="1368"/>
      <c r="C101" s="652" t="s">
        <v>1622</v>
      </c>
      <c r="D101" s="777">
        <v>230</v>
      </c>
      <c r="E101" s="774" t="s">
        <v>10</v>
      </c>
      <c r="F101" s="651">
        <f>'Generation Reading'!K985</f>
        <v>0</v>
      </c>
      <c r="G101" s="651">
        <f>'Generation Reading'!K988</f>
        <v>290720.00000000012</v>
      </c>
      <c r="H101" s="932">
        <f t="shared" si="9"/>
        <v>-290720.00000000012</v>
      </c>
      <c r="I101" s="384">
        <v>-471792.72727272694</v>
      </c>
      <c r="J101" s="940"/>
      <c r="K101" s="436"/>
      <c r="L101" s="520"/>
    </row>
    <row r="102" spans="1:12" ht="14.1" customHeight="1" x14ac:dyDescent="0.2">
      <c r="A102" s="1388" t="s">
        <v>777</v>
      </c>
      <c r="B102" s="1389"/>
      <c r="C102" s="1389"/>
      <c r="D102" s="650"/>
      <c r="E102" s="777"/>
      <c r="F102" s="654">
        <f>SUM(F94:F101)</f>
        <v>851241398.90439069</v>
      </c>
      <c r="G102" s="654">
        <f t="shared" ref="G102:H102" si="11">SUM(G94:G101)</f>
        <v>2879242.7530739643</v>
      </c>
      <c r="H102" s="654">
        <f t="shared" si="11"/>
        <v>848362156.15131676</v>
      </c>
      <c r="I102" s="1114">
        <v>808690035.02448225</v>
      </c>
      <c r="J102" s="909"/>
      <c r="K102" s="757">
        <f>F102-G102</f>
        <v>848362156.15131676</v>
      </c>
      <c r="L102" s="520"/>
    </row>
    <row r="103" spans="1:12" ht="14.1" customHeight="1" x14ac:dyDescent="0.2">
      <c r="A103" s="1367">
        <f>A101+1</f>
        <v>58</v>
      </c>
      <c r="B103" s="1368"/>
      <c r="C103" s="652" t="s">
        <v>850</v>
      </c>
      <c r="D103" s="777">
        <v>33</v>
      </c>
      <c r="E103" s="774" t="s">
        <v>13</v>
      </c>
      <c r="F103" s="651">
        <f>'Generation Reading'!K164</f>
        <v>12115223.999999944</v>
      </c>
      <c r="G103" s="651">
        <f>'Generation Reading'!K165</f>
        <v>15945.600000000013</v>
      </c>
      <c r="H103" s="932">
        <f t="shared" si="9"/>
        <v>12099278.399999944</v>
      </c>
      <c r="I103" s="384">
        <v>12218241.60000008</v>
      </c>
      <c r="J103" s="909"/>
      <c r="K103" s="436" t="s">
        <v>851</v>
      </c>
      <c r="L103" s="520">
        <f>2226800-102440</f>
        <v>2124360</v>
      </c>
    </row>
    <row r="104" spans="1:12" ht="14.1" customHeight="1" x14ac:dyDescent="0.2">
      <c r="A104" s="1367">
        <f>A103+1</f>
        <v>59</v>
      </c>
      <c r="B104" s="1368"/>
      <c r="C104" s="652" t="s">
        <v>877</v>
      </c>
      <c r="D104" s="777">
        <v>33</v>
      </c>
      <c r="E104" s="774" t="s">
        <v>13</v>
      </c>
      <c r="F104" s="651">
        <f>'Generation Reading'!K343</f>
        <v>2177685.0000000014</v>
      </c>
      <c r="G104" s="651">
        <f>'Generation Reading'!K344</f>
        <v>28582.199999999957</v>
      </c>
      <c r="H104" s="932">
        <f t="shared" si="9"/>
        <v>2149102.8000000012</v>
      </c>
      <c r="I104" s="384">
        <v>3567538.8000000198</v>
      </c>
      <c r="J104" s="909"/>
      <c r="K104" s="436" t="s">
        <v>878</v>
      </c>
      <c r="L104" s="520">
        <f>3578464-92796</f>
        <v>3485668</v>
      </c>
    </row>
    <row r="105" spans="1:12" ht="14.1" customHeight="1" x14ac:dyDescent="0.2">
      <c r="A105" s="1367">
        <f>A104+1</f>
        <v>60</v>
      </c>
      <c r="B105" s="1368"/>
      <c r="C105" s="652" t="s">
        <v>853</v>
      </c>
      <c r="D105" s="777">
        <v>132</v>
      </c>
      <c r="E105" s="774" t="s">
        <v>13</v>
      </c>
      <c r="F105" s="651">
        <f>'Generation Reading'!K67</f>
        <v>39500505.599999741</v>
      </c>
      <c r="G105" s="651">
        <f>'Generation Reading'!K68</f>
        <v>103291.20000000074</v>
      </c>
      <c r="H105" s="932">
        <f t="shared" si="9"/>
        <v>39397214.399999738</v>
      </c>
      <c r="I105" s="384">
        <v>56365881.599999957</v>
      </c>
      <c r="J105" s="909"/>
      <c r="K105" s="436" t="s">
        <v>854</v>
      </c>
      <c r="L105" s="520">
        <f>27582898-962556</f>
        <v>26620342</v>
      </c>
    </row>
    <row r="106" spans="1:12" ht="14.1" customHeight="1" x14ac:dyDescent="0.2">
      <c r="A106" s="1367">
        <f>A105+1</f>
        <v>61</v>
      </c>
      <c r="B106" s="1368"/>
      <c r="C106" s="652" t="s">
        <v>1487</v>
      </c>
      <c r="D106" s="777">
        <v>132</v>
      </c>
      <c r="E106" s="659" t="s">
        <v>13</v>
      </c>
      <c r="F106" s="651">
        <f>'Generation Reading'!K167+'Generation Reading'!K169</f>
        <v>30359807.999999613</v>
      </c>
      <c r="G106" s="651">
        <f>'Generation Reading'!K168+'Generation Reading'!K170</f>
        <v>28358.399999999903</v>
      </c>
      <c r="H106" s="932">
        <f t="shared" si="9"/>
        <v>30331449.599999614</v>
      </c>
      <c r="I106" s="384">
        <v>25266960.000000022</v>
      </c>
      <c r="J106" s="909"/>
      <c r="K106" s="436" t="s">
        <v>852</v>
      </c>
      <c r="L106" s="520">
        <f>16809640-289360</f>
        <v>16520280</v>
      </c>
    </row>
    <row r="107" spans="1:12" ht="14.1" customHeight="1" x14ac:dyDescent="0.2">
      <c r="A107" s="1388" t="s">
        <v>778</v>
      </c>
      <c r="B107" s="1389"/>
      <c r="C107" s="1389"/>
      <c r="D107" s="650"/>
      <c r="E107" s="777"/>
      <c r="F107" s="654">
        <f>SUM(F103:F106)</f>
        <v>84153222.599999309</v>
      </c>
      <c r="G107" s="654">
        <f>SUM(G103:G106)</f>
        <v>176177.40000000061</v>
      </c>
      <c r="H107" s="935">
        <f t="shared" si="9"/>
        <v>83977045.199999303</v>
      </c>
      <c r="I107" s="1114">
        <v>97418622.000000075</v>
      </c>
      <c r="J107" s="909"/>
      <c r="K107" s="757">
        <f>F107-G107</f>
        <v>83977045.199999303</v>
      </c>
      <c r="L107" s="520"/>
    </row>
    <row r="108" spans="1:12" ht="14.1" customHeight="1" x14ac:dyDescent="0.2">
      <c r="A108" s="1367">
        <f>A106+1</f>
        <v>62</v>
      </c>
      <c r="B108" s="1368"/>
      <c r="C108" s="652" t="s">
        <v>971</v>
      </c>
      <c r="D108" s="774">
        <v>132</v>
      </c>
      <c r="E108" s="774" t="s">
        <v>12</v>
      </c>
      <c r="F108" s="651">
        <f>'Generation Reading'!K956</f>
        <v>0</v>
      </c>
      <c r="G108" s="651">
        <f>'Generation Reading'!K960</f>
        <v>257673.69840000154</v>
      </c>
      <c r="H108" s="932">
        <f t="shared" si="9"/>
        <v>-257673.69840000154</v>
      </c>
      <c r="I108" s="384">
        <v>-262124.77259999854</v>
      </c>
      <c r="J108" s="909"/>
      <c r="K108" s="436" t="s">
        <v>972</v>
      </c>
      <c r="L108" s="520">
        <f>-203432</f>
        <v>-203432</v>
      </c>
    </row>
    <row r="109" spans="1:12" ht="14.1" customHeight="1" x14ac:dyDescent="0.2">
      <c r="A109" s="1388" t="s">
        <v>779</v>
      </c>
      <c r="B109" s="1389"/>
      <c r="C109" s="1389"/>
      <c r="D109" s="650"/>
      <c r="E109" s="777"/>
      <c r="F109" s="654">
        <f>SUM(F108)</f>
        <v>0</v>
      </c>
      <c r="G109" s="654">
        <f>SUM(G108)</f>
        <v>257673.69840000154</v>
      </c>
      <c r="H109" s="935">
        <f t="shared" si="9"/>
        <v>-257673.69840000154</v>
      </c>
      <c r="I109" s="1114">
        <v>-262124.77259999854</v>
      </c>
      <c r="J109" s="909"/>
      <c r="K109" s="757">
        <f>F109-G109</f>
        <v>-257673.69840000154</v>
      </c>
      <c r="L109" s="520"/>
    </row>
    <row r="110" spans="1:12" ht="14.1" customHeight="1" x14ac:dyDescent="0.2">
      <c r="A110" s="1367">
        <f>A108+1</f>
        <v>63</v>
      </c>
      <c r="B110" s="1368"/>
      <c r="C110" s="652" t="s">
        <v>1055</v>
      </c>
      <c r="D110" s="777">
        <v>132</v>
      </c>
      <c r="E110" s="774" t="s">
        <v>13</v>
      </c>
      <c r="F110" s="651">
        <f>'Generation Reading'!K943</f>
        <v>1470384.0000000673</v>
      </c>
      <c r="G110" s="651">
        <f>'Generation Reading'!K945</f>
        <v>145439.99999999997</v>
      </c>
      <c r="H110" s="932">
        <f t="shared" si="9"/>
        <v>1324944.0000000673</v>
      </c>
      <c r="I110" s="384">
        <v>1146240.0000000771</v>
      </c>
      <c r="J110" s="909"/>
      <c r="K110" s="436" t="s">
        <v>981</v>
      </c>
      <c r="L110" s="520"/>
    </row>
    <row r="111" spans="1:12" ht="14.1" customHeight="1" x14ac:dyDescent="0.2">
      <c r="A111" s="1402" t="s">
        <v>778</v>
      </c>
      <c r="B111" s="1403"/>
      <c r="C111" s="1403"/>
      <c r="D111" s="650"/>
      <c r="E111" s="777"/>
      <c r="F111" s="654">
        <f>SUM(F110)</f>
        <v>1470384.0000000673</v>
      </c>
      <c r="G111" s="654">
        <f>SUM(G110)</f>
        <v>145439.99999999997</v>
      </c>
      <c r="H111" s="935">
        <f t="shared" si="9"/>
        <v>1324944.0000000673</v>
      </c>
      <c r="I111" s="1114">
        <v>1146240.0000000771</v>
      </c>
      <c r="J111" s="909"/>
      <c r="K111" s="757">
        <f>F111-G111</f>
        <v>1324944.0000000673</v>
      </c>
      <c r="L111" s="520"/>
    </row>
    <row r="112" spans="1:12" ht="14.1" customHeight="1" x14ac:dyDescent="0.2">
      <c r="A112" s="1360">
        <f>A110+1</f>
        <v>64</v>
      </c>
      <c r="B112" s="1361"/>
      <c r="C112" s="739" t="s">
        <v>1615</v>
      </c>
      <c r="D112" s="737">
        <v>132</v>
      </c>
      <c r="E112" s="737" t="s">
        <v>590</v>
      </c>
      <c r="F112" s="740">
        <f>'Generation Reading'!K851+'Generation Reading'!K853</f>
        <v>8873280.0000000019</v>
      </c>
      <c r="G112" s="740">
        <f>'Generation Reading'!K852+'Generation Reading'!K854</f>
        <v>52319.999999999993</v>
      </c>
      <c r="H112" s="932">
        <f t="shared" si="9"/>
        <v>8820960.0000000019</v>
      </c>
      <c r="I112" s="384">
        <v>9750480</v>
      </c>
      <c r="J112" s="1213"/>
      <c r="K112" s="757"/>
      <c r="L112" s="520"/>
    </row>
    <row r="113" spans="1:16" ht="14.1" customHeight="1" x14ac:dyDescent="0.2">
      <c r="A113" s="1360">
        <f>A112+1</f>
        <v>65</v>
      </c>
      <c r="B113" s="1361"/>
      <c r="C113" s="739" t="s">
        <v>1271</v>
      </c>
      <c r="D113" s="737">
        <v>33</v>
      </c>
      <c r="E113" s="737" t="s">
        <v>590</v>
      </c>
      <c r="F113" s="740">
        <f>'Generation Reading'!K848</f>
        <v>790523.39999999956</v>
      </c>
      <c r="G113" s="740">
        <f>'Generation Reading'!K849</f>
        <v>395.39999999999242</v>
      </c>
      <c r="H113" s="932">
        <f t="shared" si="9"/>
        <v>790127.99999999953</v>
      </c>
      <c r="I113" s="384">
        <v>819657.60000000114</v>
      </c>
      <c r="J113" s="912" t="s">
        <v>1289</v>
      </c>
      <c r="K113" s="757"/>
      <c r="L113" s="520"/>
    </row>
    <row r="114" spans="1:16" ht="14.1" customHeight="1" x14ac:dyDescent="0.2">
      <c r="A114" s="1394" t="s">
        <v>1272</v>
      </c>
      <c r="B114" s="1395"/>
      <c r="C114" s="1396"/>
      <c r="D114" s="736"/>
      <c r="E114" s="737"/>
      <c r="F114" s="738">
        <f>SUM(F112:F113)</f>
        <v>9663803.4000000022</v>
      </c>
      <c r="G114" s="738">
        <f>SUM(G112:G113)</f>
        <v>52715.399999999987</v>
      </c>
      <c r="H114" s="738">
        <f>SUM(H112:H113)</f>
        <v>9611088.0000000019</v>
      </c>
      <c r="I114" s="1115">
        <v>10570137.600000001</v>
      </c>
      <c r="J114" s="913"/>
      <c r="K114" s="757"/>
      <c r="L114" s="520"/>
    </row>
    <row r="115" spans="1:16" ht="14.1" customHeight="1" x14ac:dyDescent="0.2">
      <c r="A115" s="1409" t="s">
        <v>1273</v>
      </c>
      <c r="B115" s="1410"/>
      <c r="C115" s="1410"/>
      <c r="D115" s="660"/>
      <c r="E115" s="660"/>
      <c r="F115" s="661">
        <f>F111+F109+F107+F102+F92+F81+F114</f>
        <v>2785521875.5770602</v>
      </c>
      <c r="G115" s="661">
        <f>G111+G109+G107+G102+G92+G81+G114</f>
        <v>24602655.480086621</v>
      </c>
      <c r="H115" s="936">
        <f>H111+H109+H107+H102+H92+H81+H114</f>
        <v>2760919220.0969734</v>
      </c>
      <c r="I115" s="1116">
        <v>2612029639.9583859</v>
      </c>
      <c r="J115" s="911"/>
      <c r="K115" s="436"/>
      <c r="L115" s="520"/>
    </row>
    <row r="116" spans="1:16" ht="14.1" customHeight="1" x14ac:dyDescent="0.2">
      <c r="A116" s="1404" t="s">
        <v>1156</v>
      </c>
      <c r="B116" s="1405"/>
      <c r="C116" s="1405"/>
      <c r="D116" s="1405"/>
      <c r="E116" s="1405"/>
      <c r="F116" s="1405"/>
      <c r="G116" s="1405"/>
      <c r="H116" s="937"/>
      <c r="I116" s="1117"/>
      <c r="J116" s="914"/>
      <c r="K116" s="436"/>
      <c r="L116" s="520"/>
    </row>
    <row r="117" spans="1:16" ht="14.1" customHeight="1" x14ac:dyDescent="0.2">
      <c r="A117" s="1432">
        <f>A113+1</f>
        <v>66</v>
      </c>
      <c r="B117" s="1433"/>
      <c r="C117" s="662" t="s">
        <v>915</v>
      </c>
      <c r="D117" s="959">
        <v>230</v>
      </c>
      <c r="E117" s="776" t="s">
        <v>10</v>
      </c>
      <c r="F117" s="649">
        <f>'Generation Reading'!K519</f>
        <v>31261547.713680774</v>
      </c>
      <c r="G117" s="649">
        <f>'Generation Reading'!K520</f>
        <v>2399.3181807750489</v>
      </c>
      <c r="H117" s="938">
        <f>F117-G117</f>
        <v>31259148.395500001</v>
      </c>
      <c r="I117" s="1118">
        <v>32958492.940215498</v>
      </c>
      <c r="J117" s="915"/>
      <c r="K117" s="436" t="s">
        <v>916</v>
      </c>
      <c r="L117" s="804"/>
    </row>
    <row r="118" spans="1:16" ht="14.1" customHeight="1" x14ac:dyDescent="0.2">
      <c r="A118" s="1367">
        <f>A117+1</f>
        <v>67</v>
      </c>
      <c r="B118" s="1368"/>
      <c r="C118" s="671" t="s">
        <v>1369</v>
      </c>
      <c r="D118" s="960">
        <v>132</v>
      </c>
      <c r="E118" s="774" t="s">
        <v>10</v>
      </c>
      <c r="F118" s="651">
        <f>'Generation Reading'!K706</f>
        <v>63539942.400000177</v>
      </c>
      <c r="G118" s="651">
        <f>'Generation Reading'!K711</f>
        <v>14546275.200000152</v>
      </c>
      <c r="H118" s="934">
        <f>F118-G118</f>
        <v>48993667.200000025</v>
      </c>
      <c r="I118" s="1113">
        <v>7406361.6000002846</v>
      </c>
      <c r="J118" s="909"/>
      <c r="K118" s="436" t="s">
        <v>929</v>
      </c>
      <c r="L118" s="520"/>
    </row>
    <row r="119" spans="1:16" ht="14.1" customHeight="1" x14ac:dyDescent="0.2">
      <c r="A119" s="1367">
        <f t="shared" ref="A119:A122" si="12">A118+1</f>
        <v>68</v>
      </c>
      <c r="B119" s="1368"/>
      <c r="C119" s="652" t="s">
        <v>829</v>
      </c>
      <c r="D119" s="960">
        <v>230</v>
      </c>
      <c r="E119" s="774" t="s">
        <v>10</v>
      </c>
      <c r="F119" s="651">
        <f>'Generation Reading'!K107</f>
        <v>0</v>
      </c>
      <c r="G119" s="651">
        <f>'Generation Reading'!K108</f>
        <v>0</v>
      </c>
      <c r="H119" s="932">
        <f t="shared" ref="H119:H191" si="13">F119-G119</f>
        <v>0</v>
      </c>
      <c r="I119" s="384">
        <v>0</v>
      </c>
      <c r="J119" s="909"/>
      <c r="K119" s="436" t="s">
        <v>828</v>
      </c>
      <c r="L119" s="520"/>
    </row>
    <row r="120" spans="1:16" ht="14.1" customHeight="1" x14ac:dyDescent="0.2">
      <c r="A120" s="1367">
        <f t="shared" si="12"/>
        <v>69</v>
      </c>
      <c r="B120" s="1368"/>
      <c r="C120" s="652" t="s">
        <v>830</v>
      </c>
      <c r="D120" s="961">
        <v>230</v>
      </c>
      <c r="E120" s="774" t="s">
        <v>10</v>
      </c>
      <c r="F120" s="651">
        <f>'Generation Reading'!K127</f>
        <v>265230636.00000086</v>
      </c>
      <c r="G120" s="651">
        <f>'Generation Reading'!K130</f>
        <v>0</v>
      </c>
      <c r="H120" s="932">
        <f t="shared" si="13"/>
        <v>265230636.00000086</v>
      </c>
      <c r="I120" s="384">
        <v>260255875.99999934</v>
      </c>
      <c r="J120" s="909"/>
      <c r="K120" s="436" t="s">
        <v>831</v>
      </c>
      <c r="L120" s="520"/>
    </row>
    <row r="121" spans="1:16" ht="14.1" customHeight="1" x14ac:dyDescent="0.2">
      <c r="A121" s="1367">
        <f t="shared" si="12"/>
        <v>70</v>
      </c>
      <c r="B121" s="1368"/>
      <c r="C121" s="652" t="s">
        <v>824</v>
      </c>
      <c r="D121" s="960">
        <v>230</v>
      </c>
      <c r="E121" s="774" t="s">
        <v>10</v>
      </c>
      <c r="F121" s="651">
        <f>'Generation Reading'!K155</f>
        <v>5639443.2063368456</v>
      </c>
      <c r="G121" s="651">
        <f>'Generation Reading'!K156</f>
        <v>63276.136638750169</v>
      </c>
      <c r="H121" s="932">
        <f t="shared" si="13"/>
        <v>5576167.0696980953</v>
      </c>
      <c r="I121" s="384">
        <v>-320902.27412249963</v>
      </c>
      <c r="J121" s="909"/>
      <c r="K121" s="436" t="s">
        <v>826</v>
      </c>
      <c r="L121" s="520"/>
    </row>
    <row r="122" spans="1:16" ht="14.1" customHeight="1" x14ac:dyDescent="0.2">
      <c r="A122" s="1367">
        <f t="shared" si="12"/>
        <v>71</v>
      </c>
      <c r="B122" s="1368"/>
      <c r="C122" s="652" t="s">
        <v>1062</v>
      </c>
      <c r="D122" s="960">
        <v>230</v>
      </c>
      <c r="E122" s="774" t="s">
        <v>10</v>
      </c>
      <c r="F122" s="651">
        <f>'Generation Reading'!K486</f>
        <v>69440094.5567763</v>
      </c>
      <c r="G122" s="651">
        <f>'Generation Reading'!K487</f>
        <v>90160.000014699355</v>
      </c>
      <c r="H122" s="932">
        <f t="shared" si="13"/>
        <v>69349934.556761608</v>
      </c>
      <c r="I122" s="384">
        <v>32303709.096175931</v>
      </c>
      <c r="J122" s="909"/>
      <c r="K122" s="436"/>
      <c r="L122" s="520"/>
    </row>
    <row r="123" spans="1:16" ht="14.1" customHeight="1" x14ac:dyDescent="0.2">
      <c r="A123" s="1367">
        <f t="shared" ref="A123:A129" si="14">A122+1</f>
        <v>72</v>
      </c>
      <c r="B123" s="1368"/>
      <c r="C123" s="671" t="s">
        <v>959</v>
      </c>
      <c r="D123" s="960">
        <v>400</v>
      </c>
      <c r="E123" s="774" t="s">
        <v>10</v>
      </c>
      <c r="F123" s="655">
        <f>'Generation Reading'!K684</f>
        <v>213584547.99999946</v>
      </c>
      <c r="G123" s="655">
        <f>'Generation Reading'!K687</f>
        <v>0</v>
      </c>
      <c r="H123" s="932">
        <f t="shared" si="13"/>
        <v>213584547.99999946</v>
      </c>
      <c r="I123" s="384">
        <v>227590059.99999994</v>
      </c>
      <c r="J123" s="909"/>
      <c r="K123" s="436" t="s">
        <v>960</v>
      </c>
      <c r="L123" s="520">
        <f>I123-H123</f>
        <v>14005512.000000477</v>
      </c>
    </row>
    <row r="124" spans="1:16" ht="14.1" customHeight="1" x14ac:dyDescent="0.2">
      <c r="A124" s="1367">
        <f t="shared" si="14"/>
        <v>73</v>
      </c>
      <c r="B124" s="1368"/>
      <c r="C124" s="652" t="s">
        <v>1048</v>
      </c>
      <c r="D124" s="961">
        <v>230</v>
      </c>
      <c r="E124" s="774" t="s">
        <v>10</v>
      </c>
      <c r="F124" s="651">
        <f>'Generation Reading'!K694</f>
        <v>74766706.363708541</v>
      </c>
      <c r="G124" s="651">
        <f>'Generation Reading'!K695</f>
        <v>193827.27272746121</v>
      </c>
      <c r="H124" s="932">
        <f t="shared" si="13"/>
        <v>74572879.090981081</v>
      </c>
      <c r="I124" s="384">
        <v>93884661.818272963</v>
      </c>
      <c r="J124" s="909"/>
      <c r="K124" s="436" t="s">
        <v>943</v>
      </c>
      <c r="L124" s="520"/>
    </row>
    <row r="125" spans="1:16" ht="14.1" customHeight="1" x14ac:dyDescent="0.2">
      <c r="A125" s="1367">
        <f t="shared" si="14"/>
        <v>74</v>
      </c>
      <c r="B125" s="1368"/>
      <c r="C125" s="663" t="s">
        <v>1013</v>
      </c>
      <c r="D125" s="960">
        <v>230</v>
      </c>
      <c r="E125" s="774" t="s">
        <v>10</v>
      </c>
      <c r="F125" s="651">
        <f>'Generation Reading'!K824</f>
        <v>261485745.45454526</v>
      </c>
      <c r="G125" s="651">
        <f>'Generation Reading'!K825</f>
        <v>19654.545454544219</v>
      </c>
      <c r="H125" s="932">
        <f t="shared" si="13"/>
        <v>261466090.90909073</v>
      </c>
      <c r="I125" s="384">
        <v>270376290.90909153</v>
      </c>
      <c r="J125" s="909"/>
      <c r="K125" s="436" t="s">
        <v>1014</v>
      </c>
      <c r="L125" s="520"/>
      <c r="P125" s="806"/>
    </row>
    <row r="126" spans="1:16" ht="14.1" customHeight="1" x14ac:dyDescent="0.2">
      <c r="A126" s="1367">
        <f t="shared" si="14"/>
        <v>75</v>
      </c>
      <c r="B126" s="1368"/>
      <c r="C126" s="652" t="s">
        <v>1041</v>
      </c>
      <c r="D126" s="774">
        <v>230</v>
      </c>
      <c r="E126" s="774" t="s">
        <v>10</v>
      </c>
      <c r="F126" s="651">
        <f>'Generation Reading'!K195+'Generation Reading'!K198</f>
        <v>156944623.27486032</v>
      </c>
      <c r="G126" s="651">
        <f>'Generation Reading'!K196+'Generation Reading'!K199</f>
        <v>0</v>
      </c>
      <c r="H126" s="932">
        <f t="shared" si="13"/>
        <v>156944623.27486032</v>
      </c>
      <c r="I126" s="384">
        <v>191157449.45714179</v>
      </c>
      <c r="J126" s="909"/>
      <c r="K126" s="436" t="s">
        <v>840</v>
      </c>
      <c r="L126" s="520"/>
    </row>
    <row r="127" spans="1:16" ht="14.1" customHeight="1" x14ac:dyDescent="0.2">
      <c r="A127" s="1367">
        <f t="shared" si="14"/>
        <v>76</v>
      </c>
      <c r="B127" s="1368"/>
      <c r="C127" s="652" t="s">
        <v>1546</v>
      </c>
      <c r="D127" s="774">
        <v>400</v>
      </c>
      <c r="E127" s="774" t="s">
        <v>10</v>
      </c>
      <c r="F127" s="651">
        <f>'Generation Reading'!K208</f>
        <v>130778546.16819507</v>
      </c>
      <c r="G127" s="651">
        <f>'Generation Reading'!K209</f>
        <v>1110643.4727273837</v>
      </c>
      <c r="H127" s="932">
        <f t="shared" si="13"/>
        <v>129667902.69546768</v>
      </c>
      <c r="I127" s="384">
        <v>192790116.9500193</v>
      </c>
      <c r="J127" s="1102"/>
      <c r="K127" s="436"/>
      <c r="L127" s="520"/>
    </row>
    <row r="128" spans="1:16" ht="14.1" customHeight="1" x14ac:dyDescent="0.2">
      <c r="A128" s="1367">
        <f t="shared" si="14"/>
        <v>77</v>
      </c>
      <c r="B128" s="1368"/>
      <c r="C128" s="652" t="s">
        <v>1542</v>
      </c>
      <c r="D128" s="774">
        <v>400</v>
      </c>
      <c r="E128" s="774" t="s">
        <v>10</v>
      </c>
      <c r="F128" s="651">
        <f>'Generation Reading'!K211</f>
        <v>236534964.5454784</v>
      </c>
      <c r="G128" s="651">
        <f>'Generation Reading'!K212</f>
        <v>467448.97272732086</v>
      </c>
      <c r="H128" s="932">
        <f t="shared" si="13"/>
        <v>236067515.57275108</v>
      </c>
      <c r="I128" s="384">
        <v>206497510.94547513</v>
      </c>
      <c r="J128" s="1102"/>
      <c r="K128" s="436"/>
      <c r="L128" s="520"/>
    </row>
    <row r="129" spans="1:12" ht="14.1" customHeight="1" x14ac:dyDescent="0.2">
      <c r="A129" s="1367">
        <f t="shared" si="14"/>
        <v>78</v>
      </c>
      <c r="B129" s="1368"/>
      <c r="C129" s="652" t="s">
        <v>1590</v>
      </c>
      <c r="D129" s="774">
        <v>400</v>
      </c>
      <c r="E129" s="774" t="s">
        <v>10</v>
      </c>
      <c r="F129" s="651">
        <f>'Generation Reading'!K148+'Generation Reading'!K150+'Generation Reading'!K152</f>
        <v>85496953.431272715</v>
      </c>
      <c r="G129" s="651">
        <f>-('Generation Reading'!K149+'Generation Reading'!K151+'Generation Reading'!K153)</f>
        <v>2601033.7894545454</v>
      </c>
      <c r="H129" s="932">
        <f t="shared" si="13"/>
        <v>82895919.641818166</v>
      </c>
      <c r="I129" s="384">
        <v>-1421784.1654545446</v>
      </c>
      <c r="J129" s="1102"/>
      <c r="K129" s="436"/>
      <c r="L129" s="520"/>
    </row>
    <row r="130" spans="1:12" ht="14.1" customHeight="1" x14ac:dyDescent="0.2">
      <c r="A130" s="1402" t="s">
        <v>780</v>
      </c>
      <c r="B130" s="1403"/>
      <c r="C130" s="1403"/>
      <c r="D130" s="774"/>
      <c r="E130" s="777"/>
      <c r="F130" s="654">
        <f>SUM(F117:F129)</f>
        <v>1594703751.1148546</v>
      </c>
      <c r="G130" s="654">
        <f>SUM(G117:G129)</f>
        <v>19094718.707925633</v>
      </c>
      <c r="H130" s="935">
        <f t="shared" si="13"/>
        <v>1575609032.406929</v>
      </c>
      <c r="I130" s="1114">
        <v>1513477843.2768147</v>
      </c>
      <c r="J130" s="909"/>
      <c r="K130" s="757">
        <f>F130-G130</f>
        <v>1575609032.406929</v>
      </c>
      <c r="L130" s="520"/>
    </row>
    <row r="131" spans="1:12" ht="14.1" customHeight="1" x14ac:dyDescent="0.2">
      <c r="A131" s="1367">
        <f>A129+1</f>
        <v>79</v>
      </c>
      <c r="B131" s="1368"/>
      <c r="C131" s="652" t="s">
        <v>781</v>
      </c>
      <c r="D131" s="774">
        <v>132</v>
      </c>
      <c r="E131" s="774" t="s">
        <v>13</v>
      </c>
      <c r="F131" s="651">
        <f>'Generation Reading'!K916</f>
        <v>0</v>
      </c>
      <c r="G131" s="651">
        <f>'Generation Reading'!K919</f>
        <v>0</v>
      </c>
      <c r="H131" s="932">
        <f t="shared" si="13"/>
        <v>0</v>
      </c>
      <c r="I131" s="384">
        <v>0</v>
      </c>
      <c r="J131" s="909"/>
      <c r="K131" s="436"/>
      <c r="L131" s="520"/>
    </row>
    <row r="132" spans="1:12" ht="14.1" customHeight="1" x14ac:dyDescent="0.2">
      <c r="A132" s="1367">
        <f>A131+1</f>
        <v>80</v>
      </c>
      <c r="B132" s="1368"/>
      <c r="C132" s="652" t="s">
        <v>782</v>
      </c>
      <c r="D132" s="774">
        <v>132</v>
      </c>
      <c r="E132" s="774" t="s">
        <v>13</v>
      </c>
      <c r="F132" s="651">
        <f>'Generation Reading'!K132</f>
        <v>0</v>
      </c>
      <c r="G132" s="651">
        <f>'Generation Reading'!K133</f>
        <v>0</v>
      </c>
      <c r="H132" s="932">
        <f t="shared" si="13"/>
        <v>0</v>
      </c>
      <c r="I132" s="384">
        <v>0</v>
      </c>
      <c r="J132" s="909"/>
      <c r="K132" s="436"/>
      <c r="L132" s="520"/>
    </row>
    <row r="133" spans="1:12" ht="14.1" customHeight="1" x14ac:dyDescent="0.2">
      <c r="A133" s="1367">
        <f t="shared" ref="A133:A138" si="15">A132+1</f>
        <v>81</v>
      </c>
      <c r="B133" s="1368"/>
      <c r="C133" s="652" t="s">
        <v>1018</v>
      </c>
      <c r="D133" s="774">
        <v>132</v>
      </c>
      <c r="E133" s="774" t="s">
        <v>13</v>
      </c>
      <c r="F133" s="651">
        <f>'Generation Reading'!K757</f>
        <v>308764.79999991716</v>
      </c>
      <c r="G133" s="651">
        <f>'Generation Reading'!K760</f>
        <v>49372.799999999872</v>
      </c>
      <c r="H133" s="932">
        <f t="shared" si="13"/>
        <v>259391.99999991729</v>
      </c>
      <c r="I133" s="384">
        <v>2160177.6000000266</v>
      </c>
      <c r="J133" s="909"/>
      <c r="K133" s="436" t="s">
        <v>918</v>
      </c>
      <c r="L133" s="520"/>
    </row>
    <row r="134" spans="1:12" ht="14.1" customHeight="1" x14ac:dyDescent="0.2">
      <c r="A134" s="1367">
        <f t="shared" si="15"/>
        <v>82</v>
      </c>
      <c r="B134" s="1368"/>
      <c r="C134" s="652" t="s">
        <v>1042</v>
      </c>
      <c r="D134" s="777">
        <v>132</v>
      </c>
      <c r="E134" s="774" t="s">
        <v>13</v>
      </c>
      <c r="F134" s="651">
        <f>'Generation Reading'!K89+'Generation Reading'!K91</f>
        <v>984380.39999999455</v>
      </c>
      <c r="G134" s="651">
        <f>'Generation Reading'!K90+'Generation Reading'!K92</f>
        <v>114076.7999999999</v>
      </c>
      <c r="H134" s="932">
        <f t="shared" si="13"/>
        <v>870303.59999999462</v>
      </c>
      <c r="I134" s="384">
        <v>5525823.5999999382</v>
      </c>
      <c r="J134" s="909"/>
      <c r="K134" s="436" t="s">
        <v>848</v>
      </c>
      <c r="L134" s="520"/>
    </row>
    <row r="135" spans="1:12" ht="14.1" customHeight="1" x14ac:dyDescent="0.2">
      <c r="A135" s="1367">
        <f t="shared" si="15"/>
        <v>83</v>
      </c>
      <c r="B135" s="1368"/>
      <c r="C135" s="652" t="s">
        <v>881</v>
      </c>
      <c r="D135" s="774">
        <v>33</v>
      </c>
      <c r="E135" s="774" t="s">
        <v>13</v>
      </c>
      <c r="F135" s="651">
        <f>'Generation Reading'!K304</f>
        <v>4457280.0000000279</v>
      </c>
      <c r="G135" s="651">
        <f>'Generation Reading'!K303</f>
        <v>35568.000000000669</v>
      </c>
      <c r="H135" s="932">
        <f t="shared" si="13"/>
        <v>4421712.000000027</v>
      </c>
      <c r="I135" s="384">
        <v>7683840.0000001052</v>
      </c>
      <c r="J135" s="909"/>
      <c r="K135" s="436" t="s">
        <v>882</v>
      </c>
      <c r="L135" s="520"/>
    </row>
    <row r="136" spans="1:12" ht="14.1" customHeight="1" x14ac:dyDescent="0.2">
      <c r="A136" s="1367">
        <f t="shared" si="15"/>
        <v>84</v>
      </c>
      <c r="B136" s="1368"/>
      <c r="C136" s="652" t="s">
        <v>896</v>
      </c>
      <c r="D136" s="774">
        <v>132</v>
      </c>
      <c r="E136" s="774" t="s">
        <v>13</v>
      </c>
      <c r="F136" s="651">
        <f>'Generation Reading'!K373</f>
        <v>247223.99999998743</v>
      </c>
      <c r="G136" s="651">
        <f>'Generation Reading'!K374</f>
        <v>100511.99999999937</v>
      </c>
      <c r="H136" s="932">
        <f t="shared" si="13"/>
        <v>146711.99999998807</v>
      </c>
      <c r="I136" s="384">
        <v>5241527.9999997476</v>
      </c>
      <c r="J136" s="909"/>
      <c r="K136" s="436" t="s">
        <v>897</v>
      </c>
      <c r="L136" s="520"/>
    </row>
    <row r="137" spans="1:12" ht="14.1" customHeight="1" x14ac:dyDescent="0.2">
      <c r="A137" s="1367">
        <f t="shared" si="15"/>
        <v>85</v>
      </c>
      <c r="B137" s="1368"/>
      <c r="C137" s="652" t="s">
        <v>924</v>
      </c>
      <c r="D137" s="774">
        <v>132</v>
      </c>
      <c r="E137" s="774" t="s">
        <v>13</v>
      </c>
      <c r="F137" s="651">
        <f>'Generation Reading'!K530</f>
        <v>16871673.599999994</v>
      </c>
      <c r="G137" s="651">
        <f>'Generation Reading'!K531</f>
        <v>25545.599999999809</v>
      </c>
      <c r="H137" s="932">
        <f t="shared" si="13"/>
        <v>16846127.999999993</v>
      </c>
      <c r="I137" s="384">
        <v>15802089.600000123</v>
      </c>
      <c r="J137" s="909"/>
      <c r="K137" s="436" t="s">
        <v>918</v>
      </c>
      <c r="L137" s="520"/>
    </row>
    <row r="138" spans="1:12" ht="14.1" customHeight="1" x14ac:dyDescent="0.2">
      <c r="A138" s="1367">
        <f t="shared" si="15"/>
        <v>86</v>
      </c>
      <c r="B138" s="1368"/>
      <c r="C138" s="652" t="s">
        <v>855</v>
      </c>
      <c r="D138" s="774">
        <v>132</v>
      </c>
      <c r="E138" s="774" t="s">
        <v>13</v>
      </c>
      <c r="F138" s="651">
        <f>'Generation Reading'!K186</f>
        <v>0</v>
      </c>
      <c r="G138" s="651">
        <f>'Generation Reading'!K187</f>
        <v>94511.999999999709</v>
      </c>
      <c r="H138" s="932">
        <f t="shared" si="13"/>
        <v>-94511.999999999709</v>
      </c>
      <c r="I138" s="384">
        <v>-104639.99999999828</v>
      </c>
      <c r="J138" s="909"/>
      <c r="K138" s="436" t="s">
        <v>856</v>
      </c>
      <c r="L138" s="520"/>
    </row>
    <row r="139" spans="1:12" ht="14.1" customHeight="1" x14ac:dyDescent="0.2">
      <c r="A139" s="1367">
        <f t="shared" ref="A139:A148" si="16">A138+1</f>
        <v>87</v>
      </c>
      <c r="B139" s="1368"/>
      <c r="C139" s="652" t="s">
        <v>984</v>
      </c>
      <c r="D139" s="774">
        <v>132</v>
      </c>
      <c r="E139" s="774" t="s">
        <v>13</v>
      </c>
      <c r="F139" s="651">
        <f>'Generation Reading'!K1077</f>
        <v>279071.99999999761</v>
      </c>
      <c r="G139" s="651">
        <f>'Generation Reading'!K1078</f>
        <v>199296.00000017672</v>
      </c>
      <c r="H139" s="932">
        <f t="shared" si="13"/>
        <v>79775.999999820895</v>
      </c>
      <c r="I139" s="384">
        <v>4697280.0000001444</v>
      </c>
      <c r="J139" s="909"/>
      <c r="K139" s="436" t="s">
        <v>1056</v>
      </c>
      <c r="L139" s="520"/>
    </row>
    <row r="140" spans="1:12" ht="14.1" customHeight="1" x14ac:dyDescent="0.2">
      <c r="A140" s="1367">
        <f t="shared" si="16"/>
        <v>88</v>
      </c>
      <c r="B140" s="1368"/>
      <c r="C140" s="652" t="s">
        <v>844</v>
      </c>
      <c r="D140" s="774">
        <v>132</v>
      </c>
      <c r="E140" s="774" t="s">
        <v>13</v>
      </c>
      <c r="F140" s="651">
        <f>'Generation Reading'!K202</f>
        <v>2433230.2963200007</v>
      </c>
      <c r="G140" s="651">
        <f>'Generation Reading'!K203</f>
        <v>142623.60383999997</v>
      </c>
      <c r="H140" s="932">
        <f t="shared" si="13"/>
        <v>2290606.6924800007</v>
      </c>
      <c r="I140" s="384">
        <v>8542806.8899200037</v>
      </c>
      <c r="J140" s="909"/>
      <c r="K140" s="436" t="s">
        <v>845</v>
      </c>
      <c r="L140" s="520"/>
    </row>
    <row r="141" spans="1:12" ht="14.1" customHeight="1" x14ac:dyDescent="0.2">
      <c r="A141" s="1367">
        <f t="shared" si="16"/>
        <v>89</v>
      </c>
      <c r="B141" s="1368"/>
      <c r="C141" s="652" t="s">
        <v>868</v>
      </c>
      <c r="D141" s="777">
        <v>33</v>
      </c>
      <c r="E141" s="774" t="s">
        <v>13</v>
      </c>
      <c r="F141" s="651">
        <f>'Generation Reading'!K79</f>
        <v>9990808.199999854</v>
      </c>
      <c r="G141" s="651">
        <f>'Generation Reading'!K80</f>
        <v>53139.000000000269</v>
      </c>
      <c r="H141" s="932">
        <f t="shared" si="13"/>
        <v>9937669.199999854</v>
      </c>
      <c r="I141" s="384">
        <v>17109792.300000042</v>
      </c>
      <c r="J141" s="909"/>
      <c r="K141" s="436" t="s">
        <v>867</v>
      </c>
      <c r="L141" s="520"/>
    </row>
    <row r="142" spans="1:12" ht="14.1" customHeight="1" x14ac:dyDescent="0.2">
      <c r="A142" s="1367">
        <f t="shared" si="16"/>
        <v>90</v>
      </c>
      <c r="B142" s="1368"/>
      <c r="C142" s="652" t="s">
        <v>866</v>
      </c>
      <c r="D142" s="777">
        <v>33</v>
      </c>
      <c r="E142" s="774" t="s">
        <v>13</v>
      </c>
      <c r="F142" s="651">
        <f>'Generation Reading'!K86</f>
        <v>4511665.3476001089</v>
      </c>
      <c r="G142" s="651">
        <f>'Generation Reading'!K87</f>
        <v>56085.179999999957</v>
      </c>
      <c r="H142" s="932">
        <f t="shared" si="13"/>
        <v>4455580.1676001092</v>
      </c>
      <c r="I142" s="384">
        <v>9744378.7382998951</v>
      </c>
      <c r="J142" s="909"/>
      <c r="K142" s="436" t="s">
        <v>867</v>
      </c>
      <c r="L142" s="520"/>
    </row>
    <row r="143" spans="1:12" ht="14.1" customHeight="1" x14ac:dyDescent="0.2">
      <c r="A143" s="1367">
        <f t="shared" si="16"/>
        <v>91</v>
      </c>
      <c r="B143" s="1368"/>
      <c r="C143" s="652" t="s">
        <v>1370</v>
      </c>
      <c r="D143" s="777">
        <v>132</v>
      </c>
      <c r="E143" s="774" t="s">
        <v>13</v>
      </c>
      <c r="F143" s="655">
        <f>'Generation Reading'!K720</f>
        <v>0</v>
      </c>
      <c r="G143" s="655">
        <f>'Generation Reading'!K721</f>
        <v>82751.99999999984</v>
      </c>
      <c r="H143" s="932">
        <f t="shared" si="13"/>
        <v>-82751.99999999984</v>
      </c>
      <c r="I143" s="384">
        <v>-83904.000000000568</v>
      </c>
      <c r="J143" s="909"/>
      <c r="K143" s="436" t="s">
        <v>848</v>
      </c>
      <c r="L143" s="520"/>
    </row>
    <row r="144" spans="1:12" ht="14.1" customHeight="1" x14ac:dyDescent="0.2">
      <c r="A144" s="1367">
        <f t="shared" si="16"/>
        <v>92</v>
      </c>
      <c r="B144" s="1368"/>
      <c r="C144" s="652" t="s">
        <v>931</v>
      </c>
      <c r="D144" s="777">
        <v>132</v>
      </c>
      <c r="E144" s="774" t="s">
        <v>13</v>
      </c>
      <c r="F144" s="651">
        <f>'Generation Reading'!K267</f>
        <v>0</v>
      </c>
      <c r="G144" s="651">
        <f>'Generation Reading'!K268</f>
        <v>0</v>
      </c>
      <c r="H144" s="932">
        <f t="shared" si="13"/>
        <v>0</v>
      </c>
      <c r="I144" s="384">
        <v>0</v>
      </c>
      <c r="J144" s="909"/>
      <c r="K144" s="436" t="s">
        <v>869</v>
      </c>
      <c r="L144" s="520"/>
    </row>
    <row r="145" spans="1:12" ht="14.1" customHeight="1" x14ac:dyDescent="0.2">
      <c r="A145" s="1367">
        <f t="shared" si="16"/>
        <v>93</v>
      </c>
      <c r="B145" s="1368"/>
      <c r="C145" s="652" t="s">
        <v>857</v>
      </c>
      <c r="D145" s="777">
        <v>33</v>
      </c>
      <c r="E145" s="774" t="s">
        <v>13</v>
      </c>
      <c r="F145" s="651">
        <f>'Generation Reading'!K56</f>
        <v>9243251.9999999218</v>
      </c>
      <c r="G145" s="651">
        <f>'Generation Reading'!K57</f>
        <v>37584.000000000015</v>
      </c>
      <c r="H145" s="932">
        <f t="shared" si="13"/>
        <v>9205667.9999999218</v>
      </c>
      <c r="I145" s="384">
        <v>15929460.000000037</v>
      </c>
      <c r="J145" s="909"/>
      <c r="K145" s="436" t="s">
        <v>858</v>
      </c>
      <c r="L145" s="520"/>
    </row>
    <row r="146" spans="1:12" ht="14.1" customHeight="1" x14ac:dyDescent="0.2">
      <c r="A146" s="1367">
        <f t="shared" si="16"/>
        <v>94</v>
      </c>
      <c r="B146" s="1368"/>
      <c r="C146" s="652" t="s">
        <v>859</v>
      </c>
      <c r="D146" s="777">
        <v>230</v>
      </c>
      <c r="E146" s="774" t="s">
        <v>13</v>
      </c>
      <c r="F146" s="651">
        <f>'Generation Reading'!K205</f>
        <v>16822450.908481468</v>
      </c>
      <c r="G146" s="651">
        <f>'Generation Reading'!K206</f>
        <v>382134.54544069857</v>
      </c>
      <c r="H146" s="932">
        <f t="shared" si="13"/>
        <v>16440316.363040769</v>
      </c>
      <c r="I146" s="384">
        <v>47193992.725563236</v>
      </c>
      <c r="J146" s="909"/>
      <c r="K146" s="436" t="s">
        <v>860</v>
      </c>
      <c r="L146" s="520"/>
    </row>
    <row r="147" spans="1:12" ht="14.1" customHeight="1" x14ac:dyDescent="0.2">
      <c r="A147" s="1367">
        <f t="shared" si="16"/>
        <v>95</v>
      </c>
      <c r="B147" s="1368"/>
      <c r="C147" s="652" t="s">
        <v>934</v>
      </c>
      <c r="D147" s="777">
        <v>132</v>
      </c>
      <c r="E147" s="774" t="s">
        <v>13</v>
      </c>
      <c r="F147" s="651">
        <f>'Generation Reading'!K730</f>
        <v>79328399.99999997</v>
      </c>
      <c r="G147" s="651">
        <f>'Generation Reading'!K731</f>
        <v>10799.999999999876</v>
      </c>
      <c r="H147" s="932">
        <f t="shared" si="13"/>
        <v>79317599.99999997</v>
      </c>
      <c r="I147" s="384">
        <v>79417200</v>
      </c>
      <c r="J147" s="909"/>
      <c r="K147" s="436" t="s">
        <v>935</v>
      </c>
      <c r="L147" s="520"/>
    </row>
    <row r="148" spans="1:12" ht="22.5" customHeight="1" x14ac:dyDescent="0.2">
      <c r="A148" s="1367">
        <f t="shared" si="16"/>
        <v>96</v>
      </c>
      <c r="B148" s="1368"/>
      <c r="C148" s="664" t="s">
        <v>1074</v>
      </c>
      <c r="D148" s="774">
        <v>132</v>
      </c>
      <c r="E148" s="774" t="s">
        <v>13</v>
      </c>
      <c r="F148" s="653">
        <f>'Generation Reading'!K49</f>
        <v>39102624.000000432</v>
      </c>
      <c r="G148" s="653">
        <f>'Generation Reading'!K50</f>
        <v>51695.999999999745</v>
      </c>
      <c r="H148" s="939">
        <f t="shared" si="13"/>
        <v>39050928.000000432</v>
      </c>
      <c r="I148" s="1119">
        <v>68250527.999999717</v>
      </c>
      <c r="J148" s="909"/>
      <c r="K148" s="974" t="s">
        <v>1075</v>
      </c>
      <c r="L148" s="665"/>
    </row>
    <row r="149" spans="1:12" ht="14.1" customHeight="1" x14ac:dyDescent="0.2">
      <c r="A149" s="1367">
        <f t="shared" ref="A149:A156" si="17">A148+1</f>
        <v>97</v>
      </c>
      <c r="B149" s="1368"/>
      <c r="C149" s="652" t="s">
        <v>979</v>
      </c>
      <c r="D149" s="774">
        <v>132</v>
      </c>
      <c r="E149" s="774" t="s">
        <v>13</v>
      </c>
      <c r="F149" s="651">
        <f>'Generation Reading'!K936</f>
        <v>5802239.9999999832</v>
      </c>
      <c r="G149" s="651">
        <f>'Generation Reading'!K940</f>
        <v>159120.00000000006</v>
      </c>
      <c r="H149" s="932">
        <f t="shared" si="13"/>
        <v>5643119.9999999832</v>
      </c>
      <c r="I149" s="384">
        <v>8531615.9999999255</v>
      </c>
      <c r="J149" s="909"/>
      <c r="K149" s="436" t="s">
        <v>980</v>
      </c>
      <c r="L149" s="520"/>
    </row>
    <row r="150" spans="1:12" ht="14.1" customHeight="1" x14ac:dyDescent="0.2">
      <c r="A150" s="1367">
        <f t="shared" si="17"/>
        <v>98</v>
      </c>
      <c r="B150" s="1368"/>
      <c r="C150" s="652" t="s">
        <v>921</v>
      </c>
      <c r="D150" s="774">
        <v>132</v>
      </c>
      <c r="E150" s="774" t="s">
        <v>13</v>
      </c>
      <c r="F150" s="651">
        <f>'Generation Reading'!K546</f>
        <v>96881947.199999839</v>
      </c>
      <c r="G150" s="651">
        <f>'Generation Reading'!K547</f>
        <v>31468.800000000243</v>
      </c>
      <c r="H150" s="932">
        <f t="shared" si="13"/>
        <v>96850478.399999842</v>
      </c>
      <c r="I150" s="384">
        <v>84904531.200000122</v>
      </c>
      <c r="J150" s="909"/>
      <c r="K150" s="436" t="s">
        <v>922</v>
      </c>
      <c r="L150" s="520"/>
    </row>
    <row r="151" spans="1:12" ht="14.1" customHeight="1" x14ac:dyDescent="0.2">
      <c r="A151" s="1367">
        <f t="shared" si="17"/>
        <v>99</v>
      </c>
      <c r="B151" s="1368"/>
      <c r="C151" s="663" t="s">
        <v>913</v>
      </c>
      <c r="D151" s="774">
        <v>230</v>
      </c>
      <c r="E151" s="774" t="s">
        <v>13</v>
      </c>
      <c r="F151" s="651">
        <f>'Generation Reading'!K527</f>
        <v>21743614.548999783</v>
      </c>
      <c r="G151" s="651">
        <f>'Generation Reading'!K528</f>
        <v>269810.90913489962</v>
      </c>
      <c r="H151" s="932">
        <f t="shared" si="13"/>
        <v>21473803.639864884</v>
      </c>
      <c r="I151" s="384">
        <v>32466465.459838677</v>
      </c>
      <c r="J151" s="909"/>
      <c r="K151" s="436" t="s">
        <v>914</v>
      </c>
      <c r="L151" s="520"/>
    </row>
    <row r="152" spans="1:12" ht="14.1" customHeight="1" x14ac:dyDescent="0.2">
      <c r="A152" s="1367">
        <f t="shared" si="17"/>
        <v>100</v>
      </c>
      <c r="B152" s="1368"/>
      <c r="C152" s="811" t="s">
        <v>1348</v>
      </c>
      <c r="D152" s="810">
        <v>132</v>
      </c>
      <c r="E152" s="810" t="s">
        <v>13</v>
      </c>
      <c r="F152" s="740">
        <f>'Generation Reading'!K555</f>
        <v>51212486.400000051</v>
      </c>
      <c r="G152" s="740">
        <f>'Generation Reading'!K556</f>
        <v>307.20000000009406</v>
      </c>
      <c r="H152" s="932">
        <f t="shared" si="13"/>
        <v>51212179.200000048</v>
      </c>
      <c r="I152" s="1111">
        <v>54407827.199999966</v>
      </c>
      <c r="J152" s="909"/>
      <c r="K152" s="436"/>
      <c r="L152" s="520"/>
    </row>
    <row r="153" spans="1:12" ht="14.1" customHeight="1" x14ac:dyDescent="0.2">
      <c r="A153" s="1367">
        <f t="shared" si="17"/>
        <v>101</v>
      </c>
      <c r="B153" s="1368"/>
      <c r="C153" s="663" t="s">
        <v>932</v>
      </c>
      <c r="D153" s="774">
        <v>132</v>
      </c>
      <c r="E153" s="774" t="s">
        <v>13</v>
      </c>
      <c r="F153" s="651">
        <f>'Generation Reading'!K733</f>
        <v>44369843.999999575</v>
      </c>
      <c r="G153" s="651">
        <f>'Generation Reading'!K734</f>
        <v>10571.999999999935</v>
      </c>
      <c r="H153" s="932">
        <f t="shared" si="13"/>
        <v>44359271.999999575</v>
      </c>
      <c r="I153" s="384">
        <v>43551816.000000164</v>
      </c>
      <c r="J153" s="909"/>
      <c r="K153" s="436" t="s">
        <v>933</v>
      </c>
      <c r="L153" s="520"/>
    </row>
    <row r="154" spans="1:12" ht="14.1" customHeight="1" x14ac:dyDescent="0.2">
      <c r="A154" s="1367">
        <f t="shared" si="17"/>
        <v>102</v>
      </c>
      <c r="B154" s="1368"/>
      <c r="C154" s="652" t="s">
        <v>1179</v>
      </c>
      <c r="D154" s="774">
        <v>132</v>
      </c>
      <c r="E154" s="774" t="s">
        <v>13</v>
      </c>
      <c r="F154" s="651">
        <f>'Generation Reading'!K839</f>
        <v>12556416.000000026</v>
      </c>
      <c r="G154" s="651">
        <f>'Generation Reading'!K840</f>
        <v>140736.00000000026</v>
      </c>
      <c r="H154" s="932">
        <f t="shared" si="13"/>
        <v>12415680.000000026</v>
      </c>
      <c r="I154" s="384">
        <v>18732192.000000086</v>
      </c>
      <c r="J154" s="909"/>
      <c r="K154" s="436" t="s">
        <v>1019</v>
      </c>
      <c r="L154" s="520"/>
    </row>
    <row r="155" spans="1:12" ht="14.1" customHeight="1" x14ac:dyDescent="0.2">
      <c r="A155" s="1367">
        <f t="shared" si="17"/>
        <v>103</v>
      </c>
      <c r="B155" s="1368"/>
      <c r="C155" s="652" t="s">
        <v>1045</v>
      </c>
      <c r="D155" s="774">
        <v>230</v>
      </c>
      <c r="E155" s="774" t="s">
        <v>13</v>
      </c>
      <c r="F155" s="651">
        <f>'Generation Reading'!K407</f>
        <v>507982.1718795452</v>
      </c>
      <c r="G155" s="651">
        <f>'Generation Reading'!K408</f>
        <v>119558.17947899993</v>
      </c>
      <c r="H155" s="932">
        <f t="shared" si="13"/>
        <v>388423.99240054528</v>
      </c>
      <c r="I155" s="384">
        <v>1727354.3298401381</v>
      </c>
      <c r="J155" s="909"/>
      <c r="K155" s="759" t="s">
        <v>826</v>
      </c>
      <c r="L155" s="520"/>
    </row>
    <row r="156" spans="1:12" ht="14.1" customHeight="1" x14ac:dyDescent="0.2">
      <c r="A156" s="1367">
        <f t="shared" si="17"/>
        <v>104</v>
      </c>
      <c r="B156" s="1368"/>
      <c r="C156" s="652" t="s">
        <v>1046</v>
      </c>
      <c r="D156" s="774">
        <v>230</v>
      </c>
      <c r="E156" s="774" t="s">
        <v>13</v>
      </c>
      <c r="F156" s="651">
        <f>'Generation Reading'!K410</f>
        <v>7484091.2157827765</v>
      </c>
      <c r="G156" s="651">
        <f>'Generation Reading'!K411</f>
        <v>121506.90816640043</v>
      </c>
      <c r="H156" s="932">
        <f t="shared" si="13"/>
        <v>7362584.3076163763</v>
      </c>
      <c r="I156" s="384">
        <v>12737450.084902896</v>
      </c>
      <c r="J156" s="909"/>
      <c r="K156" s="759" t="s">
        <v>826</v>
      </c>
      <c r="L156" s="520"/>
    </row>
    <row r="157" spans="1:12" ht="14.1" customHeight="1" x14ac:dyDescent="0.2">
      <c r="A157" s="1367">
        <f t="shared" ref="A157:A160" si="18">A156+1</f>
        <v>105</v>
      </c>
      <c r="B157" s="1368"/>
      <c r="C157" s="650" t="s">
        <v>1044</v>
      </c>
      <c r="D157" s="774">
        <v>230</v>
      </c>
      <c r="E157" s="774" t="s">
        <v>13</v>
      </c>
      <c r="F157" s="651">
        <f>'Generation Reading'!K395</f>
        <v>13758800.622586006</v>
      </c>
      <c r="G157" s="651">
        <f>'Generation Reading'!K396</f>
        <v>96641.817446499845</v>
      </c>
      <c r="H157" s="932">
        <f t="shared" si="13"/>
        <v>13662158.805139506</v>
      </c>
      <c r="I157" s="384">
        <v>12601875.540479956</v>
      </c>
      <c r="J157" s="909"/>
      <c r="K157" s="759"/>
      <c r="L157" s="520"/>
    </row>
    <row r="158" spans="1:12" ht="14.1" customHeight="1" x14ac:dyDescent="0.2">
      <c r="A158" s="1367">
        <f t="shared" si="18"/>
        <v>106</v>
      </c>
      <c r="B158" s="1368"/>
      <c r="C158" s="437" t="s">
        <v>886</v>
      </c>
      <c r="D158" s="774">
        <v>230</v>
      </c>
      <c r="E158" s="774" t="s">
        <v>13</v>
      </c>
      <c r="F158" s="651">
        <f>'Generation Reading'!K401</f>
        <v>3945545.454402477</v>
      </c>
      <c r="G158" s="651">
        <f>'Generation Reading'!K402</f>
        <v>228327.27271899936</v>
      </c>
      <c r="H158" s="932">
        <f t="shared" si="13"/>
        <v>3717218.1816834775</v>
      </c>
      <c r="I158" s="384">
        <v>3723239.9998652614</v>
      </c>
      <c r="J158" s="909"/>
      <c r="K158" s="759"/>
      <c r="L158" s="520"/>
    </row>
    <row r="159" spans="1:12" ht="14.1" customHeight="1" x14ac:dyDescent="0.2">
      <c r="A159" s="1367">
        <f t="shared" si="18"/>
        <v>107</v>
      </c>
      <c r="B159" s="1368"/>
      <c r="C159" s="437" t="s">
        <v>1321</v>
      </c>
      <c r="D159" s="774">
        <v>231</v>
      </c>
      <c r="E159" s="774" t="s">
        <v>13</v>
      </c>
      <c r="F159" s="651">
        <f>'Generation Reading'!K404</f>
        <v>3958843.6362202619</v>
      </c>
      <c r="G159" s="651">
        <f>'Generation Reading'!K405</f>
        <v>205243.63635619995</v>
      </c>
      <c r="H159" s="932">
        <f t="shared" si="13"/>
        <v>3753599.9998640618</v>
      </c>
      <c r="I159" s="384">
        <v>3766396.363499824</v>
      </c>
      <c r="J159" s="909"/>
      <c r="K159" s="759"/>
      <c r="L159" s="520"/>
    </row>
    <row r="160" spans="1:12" ht="14.1" customHeight="1" x14ac:dyDescent="0.2">
      <c r="A160" s="1367">
        <f t="shared" si="18"/>
        <v>108</v>
      </c>
      <c r="B160" s="1368"/>
      <c r="C160" s="652" t="s">
        <v>1026</v>
      </c>
      <c r="D160" s="774">
        <v>132</v>
      </c>
      <c r="E160" s="774" t="s">
        <v>13</v>
      </c>
      <c r="F160" s="651">
        <f>'Generation Reading'!K881</f>
        <v>40596720.00000006</v>
      </c>
      <c r="G160" s="651">
        <f>'Generation Reading'!K882</f>
        <v>116755.19999999835</v>
      </c>
      <c r="H160" s="932">
        <f t="shared" si="13"/>
        <v>40479964.800000064</v>
      </c>
      <c r="I160" s="384">
        <v>22050662.399999883</v>
      </c>
      <c r="J160" s="909"/>
      <c r="K160" s="436" t="s">
        <v>1027</v>
      </c>
      <c r="L160" s="520"/>
    </row>
    <row r="161" spans="1:12" ht="14.1" customHeight="1" x14ac:dyDescent="0.2">
      <c r="A161" s="1367">
        <f t="shared" ref="A161:A168" si="19">A160+1</f>
        <v>109</v>
      </c>
      <c r="B161" s="1368"/>
      <c r="C161" s="652" t="s">
        <v>1114</v>
      </c>
      <c r="D161" s="774">
        <v>132</v>
      </c>
      <c r="E161" s="774" t="s">
        <v>13</v>
      </c>
      <c r="F161" s="651">
        <f>'Generation Reading'!K549</f>
        <v>61230369.000000186</v>
      </c>
      <c r="G161" s="651">
        <f>'Generation Reading'!K550</f>
        <v>1345.2000000002063</v>
      </c>
      <c r="H161" s="932">
        <f t="shared" si="13"/>
        <v>61229023.800000183</v>
      </c>
      <c r="I161" s="384">
        <v>62659757.999999963</v>
      </c>
      <c r="J161" s="909"/>
      <c r="K161" s="436"/>
      <c r="L161" s="520"/>
    </row>
    <row r="162" spans="1:12" ht="14.1" customHeight="1" x14ac:dyDescent="0.2">
      <c r="A162" s="1367">
        <f t="shared" si="19"/>
        <v>110</v>
      </c>
      <c r="B162" s="1368"/>
      <c r="C162" s="652" t="s">
        <v>1147</v>
      </c>
      <c r="D162" s="774">
        <v>132</v>
      </c>
      <c r="E162" s="774" t="s">
        <v>13</v>
      </c>
      <c r="F162" s="651">
        <f>'Generation Reading'!K836</f>
        <v>2457119.9999998501</v>
      </c>
      <c r="G162" s="651">
        <f>'Generation Reading'!K837</f>
        <v>182591.99999999994</v>
      </c>
      <c r="H162" s="932">
        <f t="shared" si="13"/>
        <v>2274527.9999998501</v>
      </c>
      <c r="I162" s="384">
        <v>8606112.0000002086</v>
      </c>
      <c r="J162" s="909"/>
      <c r="K162" s="436"/>
      <c r="L162" s="520"/>
    </row>
    <row r="163" spans="1:12" ht="14.1" customHeight="1" x14ac:dyDescent="0.2">
      <c r="A163" s="1367">
        <f t="shared" si="19"/>
        <v>111</v>
      </c>
      <c r="B163" s="1368"/>
      <c r="C163" s="652" t="s">
        <v>1359</v>
      </c>
      <c r="D163" s="774">
        <v>132</v>
      </c>
      <c r="E163" s="774" t="s">
        <v>13</v>
      </c>
      <c r="F163" s="651">
        <f>'Generation Reading'!K552</f>
        <v>12181898.399999792</v>
      </c>
      <c r="G163" s="651">
        <f>'Generation Reading'!K553</f>
        <v>579.60000000006676</v>
      </c>
      <c r="H163" s="932">
        <f t="shared" si="13"/>
        <v>12181318.799999792</v>
      </c>
      <c r="I163" s="384">
        <v>12862760.400000013</v>
      </c>
      <c r="J163" s="909"/>
      <c r="K163" s="436"/>
      <c r="L163" s="520"/>
    </row>
    <row r="164" spans="1:12" ht="14.1" customHeight="1" x14ac:dyDescent="0.2">
      <c r="A164" s="1367">
        <f t="shared" si="19"/>
        <v>112</v>
      </c>
      <c r="B164" s="1368"/>
      <c r="C164" s="652" t="s">
        <v>1207</v>
      </c>
      <c r="D164" s="774">
        <v>132</v>
      </c>
      <c r="E164" s="774" t="s">
        <v>13</v>
      </c>
      <c r="F164" s="651">
        <f>'Generation Reading'!K142</f>
        <v>12593375.999999916</v>
      </c>
      <c r="G164" s="651">
        <f>'Generation Reading'!K143</f>
        <v>74303.999999999913</v>
      </c>
      <c r="H164" s="932">
        <f t="shared" si="13"/>
        <v>12519071.999999916</v>
      </c>
      <c r="I164" s="384">
        <v>15121823.999999953</v>
      </c>
      <c r="J164" s="909"/>
      <c r="K164" s="436"/>
      <c r="L164" s="520"/>
    </row>
    <row r="165" spans="1:12" ht="14.1" customHeight="1" x14ac:dyDescent="0.2">
      <c r="A165" s="1367">
        <f t="shared" si="19"/>
        <v>113</v>
      </c>
      <c r="B165" s="1368"/>
      <c r="C165" s="652" t="s">
        <v>1230</v>
      </c>
      <c r="D165" s="774">
        <v>132</v>
      </c>
      <c r="E165" s="774" t="s">
        <v>13</v>
      </c>
      <c r="F165" s="651">
        <f>'Generation Reading'!K331</f>
        <v>1544307.8181259532</v>
      </c>
      <c r="G165" s="651">
        <f>'Generation Reading'!K332</f>
        <v>166440.54544851507</v>
      </c>
      <c r="H165" s="932">
        <f t="shared" si="13"/>
        <v>1377867.2726774381</v>
      </c>
      <c r="I165" s="384">
        <v>6370418.7270420101</v>
      </c>
      <c r="J165" s="909"/>
      <c r="K165" s="436"/>
      <c r="L165" s="520"/>
    </row>
    <row r="166" spans="1:12" ht="14.1" customHeight="1" x14ac:dyDescent="0.2">
      <c r="A166" s="1367">
        <f t="shared" si="19"/>
        <v>114</v>
      </c>
      <c r="B166" s="1368"/>
      <c r="C166" s="652" t="s">
        <v>1261</v>
      </c>
      <c r="D166" s="774">
        <v>33</v>
      </c>
      <c r="E166" s="774" t="s">
        <v>13</v>
      </c>
      <c r="F166" s="651">
        <f>'Generation Reading'!K742</f>
        <v>8817840.0000000503</v>
      </c>
      <c r="G166" s="651">
        <f>'Generation Reading'!K743</f>
        <v>33119.999999999869</v>
      </c>
      <c r="H166" s="932">
        <f t="shared" si="13"/>
        <v>8784720.0000000503</v>
      </c>
      <c r="I166" s="384">
        <v>7411319.9999999907</v>
      </c>
      <c r="J166" s="909"/>
      <c r="K166" s="436"/>
      <c r="L166" s="520"/>
    </row>
    <row r="167" spans="1:12" ht="14.1" customHeight="1" x14ac:dyDescent="0.2">
      <c r="A167" s="1367">
        <f t="shared" si="19"/>
        <v>115</v>
      </c>
      <c r="B167" s="1368"/>
      <c r="C167" s="652" t="s">
        <v>1276</v>
      </c>
      <c r="D167" s="774">
        <v>132</v>
      </c>
      <c r="E167" s="774" t="s">
        <v>13</v>
      </c>
      <c r="F167" s="651">
        <f>'Generation Reading'!K1103</f>
        <v>2159160.00000002</v>
      </c>
      <c r="G167" s="651">
        <f>'Generation Reading'!K1102</f>
        <v>161639.99999999951</v>
      </c>
      <c r="H167" s="932">
        <f t="shared" si="13"/>
        <v>1997520.0000000205</v>
      </c>
      <c r="I167" s="384">
        <v>5967143.9999999395</v>
      </c>
      <c r="J167" s="916"/>
      <c r="K167" s="436"/>
      <c r="L167" s="520"/>
    </row>
    <row r="168" spans="1:12" ht="14.1" customHeight="1" x14ac:dyDescent="0.2">
      <c r="A168" s="1367">
        <f t="shared" si="19"/>
        <v>116</v>
      </c>
      <c r="B168" s="1368"/>
      <c r="C168" s="652" t="s">
        <v>1234</v>
      </c>
      <c r="D168" s="774">
        <v>33</v>
      </c>
      <c r="E168" s="774" t="s">
        <v>13</v>
      </c>
      <c r="F168" s="651">
        <f>'Generation Reading'!K739</f>
        <v>5498990.3999999911</v>
      </c>
      <c r="G168" s="651">
        <f>'Generation Reading'!K740</f>
        <v>27122.399999999834</v>
      </c>
      <c r="H168" s="932">
        <f t="shared" si="13"/>
        <v>5471867.9999999916</v>
      </c>
      <c r="I168" s="384">
        <v>8083509.5999999978</v>
      </c>
      <c r="J168" s="909"/>
      <c r="K168" s="436"/>
      <c r="L168" s="520"/>
    </row>
    <row r="169" spans="1:12" ht="14.1" customHeight="1" x14ac:dyDescent="0.2">
      <c r="A169" s="1374">
        <f>A168+1</f>
        <v>117</v>
      </c>
      <c r="B169" s="1375"/>
      <c r="C169" s="652" t="s">
        <v>1323</v>
      </c>
      <c r="D169" s="774">
        <v>33</v>
      </c>
      <c r="E169" s="774" t="s">
        <v>13</v>
      </c>
      <c r="F169" s="651">
        <f>'Generation Reading'!K118</f>
        <v>15558314.400000036</v>
      </c>
      <c r="G169" s="651">
        <f>'Generation Reading'!K119</f>
        <v>25437.60000000006</v>
      </c>
      <c r="H169" s="932">
        <f t="shared" si="13"/>
        <v>15532876.800000036</v>
      </c>
      <c r="I169" s="384">
        <v>11879377.199999981</v>
      </c>
      <c r="J169" s="909"/>
      <c r="K169" s="436"/>
      <c r="L169" s="520"/>
    </row>
    <row r="170" spans="1:12" ht="14.1" customHeight="1" x14ac:dyDescent="0.2">
      <c r="A170" s="1384" t="s">
        <v>783</v>
      </c>
      <c r="B170" s="1385"/>
      <c r="C170" s="1385"/>
      <c r="D170" s="650"/>
      <c r="E170" s="777"/>
      <c r="F170" s="654">
        <f>SUM(F131:F169)</f>
        <v>609440732.82039762</v>
      </c>
      <c r="G170" s="654">
        <f>SUM(G131:G169)</f>
        <v>3608326.7980313879</v>
      </c>
      <c r="H170" s="935">
        <f>SUM(H131:H169)</f>
        <v>605832406.02236629</v>
      </c>
      <c r="I170" s="1114">
        <v>725274003.95925188</v>
      </c>
      <c r="J170" s="909"/>
      <c r="K170" s="757">
        <f>F170-G170</f>
        <v>605832406.02236629</v>
      </c>
      <c r="L170" s="520"/>
    </row>
    <row r="171" spans="1:12" ht="14.1" customHeight="1" x14ac:dyDescent="0.2">
      <c r="A171" s="1379">
        <f>A169+1</f>
        <v>118</v>
      </c>
      <c r="B171" s="1380"/>
      <c r="C171" s="679" t="s">
        <v>861</v>
      </c>
      <c r="D171" s="681">
        <v>230</v>
      </c>
      <c r="E171" s="775" t="s">
        <v>651</v>
      </c>
      <c r="F171" s="680">
        <f>'Generation Reading'!K273</f>
        <v>0</v>
      </c>
      <c r="G171" s="680">
        <f>'Generation Reading'!K274</f>
        <v>0</v>
      </c>
      <c r="H171" s="934">
        <f t="shared" si="13"/>
        <v>0</v>
      </c>
      <c r="I171" s="1113">
        <v>0</v>
      </c>
      <c r="J171" s="909"/>
      <c r="K171" s="436" t="s">
        <v>862</v>
      </c>
      <c r="L171" s="520"/>
    </row>
    <row r="172" spans="1:12" ht="14.1" customHeight="1" x14ac:dyDescent="0.2">
      <c r="A172" s="1367">
        <f t="shared" ref="A172:A177" si="20">+A171+1</f>
        <v>119</v>
      </c>
      <c r="B172" s="1368"/>
      <c r="C172" s="652" t="s">
        <v>927</v>
      </c>
      <c r="D172" s="777">
        <v>132</v>
      </c>
      <c r="E172" s="774" t="s">
        <v>12</v>
      </c>
      <c r="F172" s="651">
        <f>'Generation Reading'!K489</f>
        <v>0</v>
      </c>
      <c r="G172" s="651">
        <f>'Generation Reading'!K490</f>
        <v>0</v>
      </c>
      <c r="H172" s="932">
        <f t="shared" si="13"/>
        <v>0</v>
      </c>
      <c r="I172" s="384">
        <v>0</v>
      </c>
      <c r="J172" s="909"/>
      <c r="K172" s="436" t="s">
        <v>928</v>
      </c>
      <c r="L172" s="520"/>
    </row>
    <row r="173" spans="1:12" ht="14.1" customHeight="1" x14ac:dyDescent="0.2">
      <c r="A173" s="1367">
        <f t="shared" si="20"/>
        <v>120</v>
      </c>
      <c r="B173" s="1368"/>
      <c r="C173" s="652" t="s">
        <v>975</v>
      </c>
      <c r="D173" s="777">
        <v>132</v>
      </c>
      <c r="E173" s="774" t="s">
        <v>12</v>
      </c>
      <c r="F173" s="651">
        <f>'Generation Reading'!K1000</f>
        <v>0</v>
      </c>
      <c r="G173" s="651">
        <f>'Generation Reading'!K1001</f>
        <v>0</v>
      </c>
      <c r="H173" s="932">
        <f t="shared" si="13"/>
        <v>0</v>
      </c>
      <c r="I173" s="384">
        <v>0</v>
      </c>
      <c r="J173" s="909"/>
      <c r="K173" s="436" t="s">
        <v>976</v>
      </c>
      <c r="L173" s="520"/>
    </row>
    <row r="174" spans="1:12" ht="14.1" customHeight="1" x14ac:dyDescent="0.2">
      <c r="A174" s="1367">
        <f t="shared" si="20"/>
        <v>121</v>
      </c>
      <c r="B174" s="1368"/>
      <c r="C174" s="652" t="s">
        <v>865</v>
      </c>
      <c r="D174" s="666">
        <v>132</v>
      </c>
      <c r="E174" s="774" t="s">
        <v>12</v>
      </c>
      <c r="F174" s="651">
        <f>'Generation Reading'!K276</f>
        <v>0</v>
      </c>
      <c r="G174" s="651">
        <f>'Generation Reading'!K277</f>
        <v>0</v>
      </c>
      <c r="H174" s="932">
        <f t="shared" si="13"/>
        <v>0</v>
      </c>
      <c r="I174" s="384">
        <v>0</v>
      </c>
      <c r="J174" s="909"/>
      <c r="K174" s="436" t="s">
        <v>864</v>
      </c>
      <c r="L174" s="520"/>
    </row>
    <row r="175" spans="1:12" ht="14.1" customHeight="1" x14ac:dyDescent="0.2">
      <c r="A175" s="1367">
        <f t="shared" si="20"/>
        <v>122</v>
      </c>
      <c r="B175" s="1368"/>
      <c r="C175" s="652" t="s">
        <v>863</v>
      </c>
      <c r="D175" s="777">
        <v>132</v>
      </c>
      <c r="E175" s="774" t="s">
        <v>12</v>
      </c>
      <c r="F175" s="651">
        <f>'Generation Reading'!K270</f>
        <v>0</v>
      </c>
      <c r="G175" s="651">
        <f>'Generation Reading'!K271</f>
        <v>0</v>
      </c>
      <c r="H175" s="932">
        <f t="shared" si="13"/>
        <v>0</v>
      </c>
      <c r="I175" s="384">
        <v>0</v>
      </c>
      <c r="J175" s="909"/>
      <c r="K175" s="436" t="s">
        <v>864</v>
      </c>
      <c r="L175" s="520"/>
    </row>
    <row r="176" spans="1:12" ht="14.1" customHeight="1" x14ac:dyDescent="0.2">
      <c r="A176" s="1367">
        <f t="shared" si="20"/>
        <v>123</v>
      </c>
      <c r="B176" s="1368"/>
      <c r="C176" s="652" t="s">
        <v>997</v>
      </c>
      <c r="D176" s="777">
        <v>230</v>
      </c>
      <c r="E176" s="774" t="s">
        <v>651</v>
      </c>
      <c r="F176" s="651">
        <f>'Generation Reading'!K827</f>
        <v>0</v>
      </c>
      <c r="G176" s="651">
        <f>'Generation Reading'!K828</f>
        <v>0</v>
      </c>
      <c r="H176" s="932">
        <f t="shared" si="13"/>
        <v>0</v>
      </c>
      <c r="I176" s="384">
        <v>0</v>
      </c>
      <c r="J176" s="909"/>
      <c r="K176" s="436" t="s">
        <v>998</v>
      </c>
      <c r="L176" s="520"/>
    </row>
    <row r="177" spans="1:12" ht="14.1" customHeight="1" x14ac:dyDescent="0.2">
      <c r="A177" s="1367">
        <f t="shared" si="20"/>
        <v>124</v>
      </c>
      <c r="B177" s="1368"/>
      <c r="C177" s="652" t="s">
        <v>1513</v>
      </c>
      <c r="D177" s="777">
        <v>33</v>
      </c>
      <c r="E177" s="774" t="s">
        <v>651</v>
      </c>
      <c r="F177" s="651">
        <f>'Generation Reading'!K565</f>
        <v>2667891.5999999992</v>
      </c>
      <c r="G177" s="651">
        <f>'Generation Reading'!K566</f>
        <v>0</v>
      </c>
      <c r="H177" s="932">
        <f t="shared" si="13"/>
        <v>2667891.5999999992</v>
      </c>
      <c r="I177" s="384">
        <v>2601264.6</v>
      </c>
      <c r="J177" s="909"/>
      <c r="K177" s="436"/>
      <c r="L177" s="520"/>
    </row>
    <row r="178" spans="1:12" ht="14.1" customHeight="1" x14ac:dyDescent="0.2">
      <c r="A178" s="1384" t="s">
        <v>784</v>
      </c>
      <c r="B178" s="1385"/>
      <c r="C178" s="1385"/>
      <c r="D178" s="650"/>
      <c r="E178" s="777"/>
      <c r="F178" s="654">
        <f>SUM(F171:F177)</f>
        <v>2667891.5999999992</v>
      </c>
      <c r="G178" s="654">
        <f>SUM(G171:G177)</f>
        <v>0</v>
      </c>
      <c r="H178" s="654">
        <f>SUM(H171:H177)</f>
        <v>2667891.5999999992</v>
      </c>
      <c r="I178" s="1114">
        <v>2601264.6</v>
      </c>
      <c r="J178" s="909"/>
      <c r="K178" s="757">
        <f>F178-G178</f>
        <v>2667891.5999999992</v>
      </c>
      <c r="L178" s="520"/>
    </row>
    <row r="179" spans="1:12" ht="14.1" customHeight="1" x14ac:dyDescent="0.2">
      <c r="A179" s="1384" t="s">
        <v>785</v>
      </c>
      <c r="B179" s="1385"/>
      <c r="C179" s="1385"/>
      <c r="D179" s="650"/>
      <c r="E179" s="777"/>
      <c r="F179" s="654">
        <f>F178+F170</f>
        <v>612108624.42039764</v>
      </c>
      <c r="G179" s="654">
        <f>G178+G170</f>
        <v>3608326.7980313879</v>
      </c>
      <c r="H179" s="935">
        <f t="shared" si="13"/>
        <v>608500297.62236631</v>
      </c>
      <c r="I179" s="1114">
        <v>727875268.55925202</v>
      </c>
      <c r="J179" s="909"/>
      <c r="K179" s="436"/>
      <c r="L179" s="520"/>
    </row>
    <row r="180" spans="1:12" ht="14.1" customHeight="1" x14ac:dyDescent="0.2">
      <c r="A180" s="1386">
        <f>A177+1</f>
        <v>125</v>
      </c>
      <c r="B180" s="1387"/>
      <c r="C180" s="656" t="s">
        <v>936</v>
      </c>
      <c r="D180" s="774">
        <v>33</v>
      </c>
      <c r="E180" s="777" t="s">
        <v>590</v>
      </c>
      <c r="F180" s="651">
        <f>'Generation Reading'!K727</f>
        <v>328570.80000000133</v>
      </c>
      <c r="G180" s="651">
        <f>'Generation Reading'!K728</f>
        <v>1791.5999999999972</v>
      </c>
      <c r="H180" s="932">
        <f t="shared" si="13"/>
        <v>326779.20000000135</v>
      </c>
      <c r="I180" s="384">
        <v>351804.0000000025</v>
      </c>
      <c r="J180" s="909"/>
      <c r="K180" s="436" t="s">
        <v>848</v>
      </c>
      <c r="L180" s="520"/>
    </row>
    <row r="181" spans="1:12" ht="14.1" customHeight="1" x14ac:dyDescent="0.2">
      <c r="A181" s="1386">
        <f t="shared" ref="A181:A187" si="21">A180+1</f>
        <v>126</v>
      </c>
      <c r="B181" s="1387"/>
      <c r="C181" s="656" t="s">
        <v>879</v>
      </c>
      <c r="D181" s="774">
        <v>33</v>
      </c>
      <c r="E181" s="777" t="s">
        <v>590</v>
      </c>
      <c r="F181" s="651">
        <f>'Generation Reading'!K386</f>
        <v>2120080.4999999832</v>
      </c>
      <c r="G181" s="651">
        <f>'Generation Reading'!K387</f>
        <v>9881.9999999999909</v>
      </c>
      <c r="H181" s="932">
        <f t="shared" si="13"/>
        <v>2110198.4999999832</v>
      </c>
      <c r="I181" s="384">
        <v>2897194.4999999995</v>
      </c>
      <c r="J181" s="909"/>
      <c r="K181" s="436" t="s">
        <v>880</v>
      </c>
      <c r="L181" s="682"/>
    </row>
    <row r="182" spans="1:12" ht="14.1" customHeight="1" x14ac:dyDescent="0.2">
      <c r="A182" s="1386">
        <f t="shared" si="21"/>
        <v>127</v>
      </c>
      <c r="B182" s="1387"/>
      <c r="C182" s="656" t="s">
        <v>1053</v>
      </c>
      <c r="D182" s="774">
        <v>33</v>
      </c>
      <c r="E182" s="777" t="s">
        <v>590</v>
      </c>
      <c r="F182" s="651">
        <f>'Generation Reading'!K887</f>
        <v>1305252.9599999944</v>
      </c>
      <c r="G182" s="651">
        <f>'Generation Reading'!K888</f>
        <v>3604.7999999999975</v>
      </c>
      <c r="H182" s="932">
        <f t="shared" si="13"/>
        <v>1301648.1599999943</v>
      </c>
      <c r="I182" s="384">
        <v>1240141.5600000068</v>
      </c>
      <c r="J182" s="909"/>
      <c r="K182" s="436" t="s">
        <v>1029</v>
      </c>
      <c r="L182" s="520"/>
    </row>
    <row r="183" spans="1:12" ht="14.1" customHeight="1" x14ac:dyDescent="0.2">
      <c r="A183" s="1386">
        <f t="shared" si="21"/>
        <v>128</v>
      </c>
      <c r="B183" s="1387"/>
      <c r="C183" s="656" t="s">
        <v>1081</v>
      </c>
      <c r="D183" s="774">
        <v>11</v>
      </c>
      <c r="E183" s="777" t="s">
        <v>590</v>
      </c>
      <c r="F183" s="651">
        <f>'Generation Reading'!K697</f>
        <v>0</v>
      </c>
      <c r="G183" s="651">
        <v>0</v>
      </c>
      <c r="H183" s="932">
        <f t="shared" si="13"/>
        <v>0</v>
      </c>
      <c r="I183" s="384">
        <v>0</v>
      </c>
      <c r="J183" s="909"/>
      <c r="K183" s="436"/>
      <c r="L183" s="520"/>
    </row>
    <row r="184" spans="1:12" ht="14.1" customHeight="1" x14ac:dyDescent="0.2">
      <c r="A184" s="1390">
        <f t="shared" si="21"/>
        <v>129</v>
      </c>
      <c r="B184" s="1391"/>
      <c r="C184" s="656" t="s">
        <v>1218</v>
      </c>
      <c r="D184" s="774">
        <v>11</v>
      </c>
      <c r="E184" s="777" t="s">
        <v>471</v>
      </c>
      <c r="F184" s="651">
        <f>'Generation Reading'!K845</f>
        <v>1961.849999999994</v>
      </c>
      <c r="G184" s="651">
        <f>'Generation Reading'!K846</f>
        <v>2275.8075000000163</v>
      </c>
      <c r="H184" s="932">
        <f t="shared" si="13"/>
        <v>-313.95750000002226</v>
      </c>
      <c r="I184" s="384">
        <v>-1148.5124999999889</v>
      </c>
      <c r="J184" s="909"/>
      <c r="K184" s="436"/>
      <c r="L184" s="520"/>
    </row>
    <row r="185" spans="1:12" ht="14.1" customHeight="1" x14ac:dyDescent="0.2">
      <c r="A185" s="1386">
        <f t="shared" si="21"/>
        <v>130</v>
      </c>
      <c r="B185" s="1387"/>
      <c r="C185" s="656" t="s">
        <v>1523</v>
      </c>
      <c r="D185" s="774">
        <v>132</v>
      </c>
      <c r="E185" s="777" t="s">
        <v>471</v>
      </c>
      <c r="F185" s="651">
        <f>'Generation Reading'!K426</f>
        <v>14024212.799999995</v>
      </c>
      <c r="G185" s="651">
        <f>'Generation Reading'!K427</f>
        <v>47956.800000000185</v>
      </c>
      <c r="H185" s="932">
        <f t="shared" si="13"/>
        <v>13976255.999999994</v>
      </c>
      <c r="I185" s="384">
        <v>9119764.8000000007</v>
      </c>
      <c r="J185" s="940"/>
      <c r="K185" s="436"/>
      <c r="L185" s="520"/>
    </row>
    <row r="186" spans="1:12" ht="14.1" customHeight="1" x14ac:dyDescent="0.2">
      <c r="A186" s="1390">
        <f>A185+1</f>
        <v>131</v>
      </c>
      <c r="B186" s="1391"/>
      <c r="C186" s="796" t="s">
        <v>1327</v>
      </c>
      <c r="D186" s="774">
        <v>132</v>
      </c>
      <c r="E186" s="777" t="s">
        <v>590</v>
      </c>
      <c r="F186" s="651">
        <f>'Generation Reading'!K736</f>
        <v>7710479.9999999888</v>
      </c>
      <c r="G186" s="651">
        <f>'Generation Reading'!K737</f>
        <v>39984.000000000182</v>
      </c>
      <c r="H186" s="932">
        <f t="shared" si="13"/>
        <v>7670495.9999999888</v>
      </c>
      <c r="I186" s="384">
        <v>8242127.9999999832</v>
      </c>
      <c r="J186" s="909"/>
      <c r="K186" s="436"/>
      <c r="L186" s="520"/>
    </row>
    <row r="187" spans="1:12" ht="14.1" customHeight="1" x14ac:dyDescent="0.2">
      <c r="A187" s="1390">
        <f t="shared" si="21"/>
        <v>132</v>
      </c>
      <c r="B187" s="1391"/>
      <c r="C187" s="656" t="s">
        <v>1280</v>
      </c>
      <c r="D187" s="774">
        <v>33</v>
      </c>
      <c r="E187" s="777" t="s">
        <v>590</v>
      </c>
      <c r="F187" s="651">
        <f>'Generation Reading'!K189</f>
        <v>5281838.3999999966</v>
      </c>
      <c r="G187" s="651">
        <f>'Generation Reading'!K190</f>
        <v>13768.800000000034</v>
      </c>
      <c r="H187" s="932">
        <f t="shared" si="13"/>
        <v>5268069.5999999968</v>
      </c>
      <c r="I187" s="384">
        <v>5516049.5999999866</v>
      </c>
      <c r="J187" s="909"/>
      <c r="K187" s="436"/>
      <c r="L187" s="520"/>
    </row>
    <row r="188" spans="1:12" ht="14.1" customHeight="1" x14ac:dyDescent="0.2">
      <c r="A188" s="1369">
        <f t="shared" ref="A188:A193" si="22">A187+1</f>
        <v>133</v>
      </c>
      <c r="B188" s="1370"/>
      <c r="C188" s="656" t="s">
        <v>1307</v>
      </c>
      <c r="D188" s="774">
        <v>33</v>
      </c>
      <c r="E188" s="777" t="s">
        <v>590</v>
      </c>
      <c r="F188" s="651">
        <f>'Generation Reading'!K413</f>
        <v>766848</v>
      </c>
      <c r="G188" s="651">
        <v>0</v>
      </c>
      <c r="H188" s="932">
        <f t="shared" si="13"/>
        <v>766848</v>
      </c>
      <c r="I188" s="384">
        <v>760991.99999999651</v>
      </c>
      <c r="J188" s="917"/>
      <c r="K188" s="436"/>
      <c r="L188" s="520"/>
    </row>
    <row r="189" spans="1:12" ht="14.1" customHeight="1" x14ac:dyDescent="0.2">
      <c r="A189" s="1369">
        <f t="shared" si="22"/>
        <v>134</v>
      </c>
      <c r="B189" s="1370"/>
      <c r="C189" s="656" t="s">
        <v>1338</v>
      </c>
      <c r="D189" s="774">
        <v>132</v>
      </c>
      <c r="E189" s="777" t="s">
        <v>590</v>
      </c>
      <c r="F189" s="651">
        <f>'Generation Reading'!K963</f>
        <v>15263200.800000004</v>
      </c>
      <c r="G189" s="651">
        <f>'Generation Reading'!K965</f>
        <v>51976.799999999981</v>
      </c>
      <c r="H189" s="932">
        <f t="shared" si="13"/>
        <v>15211224.000000004</v>
      </c>
      <c r="I189" s="384">
        <v>18377330.400000025</v>
      </c>
      <c r="J189" s="909"/>
      <c r="K189" s="436"/>
      <c r="L189" s="520"/>
    </row>
    <row r="190" spans="1:12" ht="14.1" customHeight="1" x14ac:dyDescent="0.2">
      <c r="A190" s="1369">
        <f t="shared" si="22"/>
        <v>135</v>
      </c>
      <c r="B190" s="1370"/>
      <c r="C190" s="656" t="s">
        <v>1459</v>
      </c>
      <c r="D190" s="774">
        <v>132</v>
      </c>
      <c r="E190" s="777" t="s">
        <v>590</v>
      </c>
      <c r="F190" s="651">
        <f>'Generation Reading'!K894+'Generation Reading'!K896</f>
        <v>34511839.199999958</v>
      </c>
      <c r="G190" s="651">
        <f>'Generation Reading'!K893+'Generation Reading'!K895</f>
        <v>141811.20000000048</v>
      </c>
      <c r="H190" s="932">
        <f t="shared" si="13"/>
        <v>34370027.999999955</v>
      </c>
      <c r="I190" s="384">
        <v>32243436.000000026</v>
      </c>
      <c r="J190" s="988"/>
      <c r="K190" s="436"/>
      <c r="L190" s="520"/>
    </row>
    <row r="191" spans="1:12" ht="14.1" customHeight="1" x14ac:dyDescent="0.2">
      <c r="A191" s="1369">
        <f t="shared" si="22"/>
        <v>136</v>
      </c>
      <c r="B191" s="1370"/>
      <c r="C191" s="656" t="s">
        <v>1638</v>
      </c>
      <c r="D191" s="774">
        <v>132</v>
      </c>
      <c r="E191" s="777" t="s">
        <v>590</v>
      </c>
      <c r="F191" s="651">
        <f>'Generation Reading'!K856</f>
        <v>17898206.400000002</v>
      </c>
      <c r="G191" s="651">
        <f>'Generation Reading'!K857</f>
        <v>144223.19999999984</v>
      </c>
      <c r="H191" s="932">
        <f t="shared" si="13"/>
        <v>17753983.200000003</v>
      </c>
      <c r="I191" s="384">
        <v>18945071.999999996</v>
      </c>
      <c r="J191" s="988"/>
      <c r="K191" s="436"/>
      <c r="L191" s="520"/>
    </row>
    <row r="192" spans="1:12" ht="14.1" customHeight="1" x14ac:dyDescent="0.2">
      <c r="A192" s="1369">
        <f t="shared" si="22"/>
        <v>137</v>
      </c>
      <c r="B192" s="1370"/>
      <c r="C192" s="656" t="s">
        <v>1405</v>
      </c>
      <c r="D192" s="774">
        <v>33</v>
      </c>
      <c r="E192" s="777" t="s">
        <v>590</v>
      </c>
      <c r="F192" s="651">
        <f>'Generation Reading'!K898</f>
        <v>5510186.9999999972</v>
      </c>
      <c r="G192" s="651">
        <f>'Generation Reading'!K899</f>
        <v>24081.300000000087</v>
      </c>
      <c r="H192" s="932">
        <f t="shared" ref="H192" si="23">F192-G192</f>
        <v>5486105.6999999974</v>
      </c>
      <c r="I192" s="384">
        <v>4994308.8</v>
      </c>
      <c r="J192" s="940" t="s">
        <v>1329</v>
      </c>
      <c r="K192" s="436"/>
      <c r="L192" s="520"/>
    </row>
    <row r="193" spans="1:14" ht="14.1" customHeight="1" x14ac:dyDescent="0.2">
      <c r="A193" s="1369">
        <f t="shared" si="22"/>
        <v>138</v>
      </c>
      <c r="B193" s="1370"/>
      <c r="C193" s="656" t="s">
        <v>1591</v>
      </c>
      <c r="D193" s="774">
        <v>230</v>
      </c>
      <c r="E193" s="777" t="s">
        <v>590</v>
      </c>
      <c r="F193" s="651">
        <f>'Generation Reading'!K591+'Generation Reading'!K593</f>
        <v>10872384.358909238</v>
      </c>
      <c r="G193" s="651">
        <f>'Generation Reading'!K592+'Generation Reading'!K594</f>
        <v>55124.72724876002</v>
      </c>
      <c r="H193" s="932">
        <f t="shared" ref="H193" si="24">F193-G193</f>
        <v>10817259.631660478</v>
      </c>
      <c r="I193" s="384">
        <v>12055935.085667389</v>
      </c>
      <c r="J193" s="940"/>
      <c r="K193" s="436"/>
      <c r="L193" s="520"/>
    </row>
    <row r="194" spans="1:14" ht="14.1" customHeight="1" x14ac:dyDescent="0.2">
      <c r="A194" s="1384" t="s">
        <v>1219</v>
      </c>
      <c r="B194" s="1385"/>
      <c r="C194" s="1385"/>
      <c r="D194" s="650"/>
      <c r="E194" s="777"/>
      <c r="F194" s="654">
        <f>SUM(F180:F193)</f>
        <v>115595063.06890915</v>
      </c>
      <c r="G194" s="654">
        <f>SUM(G180:G193)</f>
        <v>536481.03474876075</v>
      </c>
      <c r="H194" s="654">
        <f>SUM(H180:H193)</f>
        <v>115058582.03416041</v>
      </c>
      <c r="I194" s="1114">
        <v>114743008.23316741</v>
      </c>
      <c r="J194" s="909"/>
      <c r="K194" s="757">
        <f>F194-G194</f>
        <v>115058582.03416039</v>
      </c>
      <c r="L194" s="520"/>
    </row>
    <row r="195" spans="1:14" ht="14.1" customHeight="1" x14ac:dyDescent="0.2">
      <c r="A195" s="1397" t="s">
        <v>1220</v>
      </c>
      <c r="B195" s="1398"/>
      <c r="C195" s="1398"/>
      <c r="D195" s="660"/>
      <c r="E195" s="667"/>
      <c r="F195" s="668">
        <f>F194+F179+F130</f>
        <v>2322407438.6041613</v>
      </c>
      <c r="G195" s="668">
        <f>G194+G179+G130</f>
        <v>23239526.540705781</v>
      </c>
      <c r="H195" s="933">
        <f>H194+H179+H130</f>
        <v>2299167912.0634556</v>
      </c>
      <c r="I195" s="1112">
        <v>2356096120.0692339</v>
      </c>
      <c r="J195" s="909"/>
      <c r="K195" s="436"/>
      <c r="L195" s="520"/>
    </row>
    <row r="196" spans="1:14" ht="17.25" customHeight="1" x14ac:dyDescent="0.2">
      <c r="A196" s="1399" t="s">
        <v>1157</v>
      </c>
      <c r="B196" s="1400"/>
      <c r="C196" s="1400"/>
      <c r="D196" s="1400"/>
      <c r="E196" s="1400"/>
      <c r="F196" s="1400"/>
      <c r="G196" s="1400"/>
      <c r="H196" s="1400"/>
      <c r="I196" s="1400"/>
      <c r="J196" s="1401"/>
      <c r="K196" s="436"/>
      <c r="L196" s="520"/>
      <c r="N196" s="644"/>
    </row>
    <row r="197" spans="1:14" ht="16.5" customHeight="1" x14ac:dyDescent="0.2">
      <c r="A197" s="1392">
        <f>A193+1</f>
        <v>139</v>
      </c>
      <c r="B197" s="1393"/>
      <c r="C197" s="662" t="s">
        <v>1015</v>
      </c>
      <c r="D197" s="669">
        <v>33</v>
      </c>
      <c r="E197" s="776" t="s">
        <v>10</v>
      </c>
      <c r="F197" s="649">
        <f>'Generation Reading'!K789</f>
        <v>0</v>
      </c>
      <c r="G197" s="649">
        <f>'Generation Reading'!K790</f>
        <v>671.99999999997931</v>
      </c>
      <c r="H197" s="938">
        <f>F197-G197</f>
        <v>-671.99999999997931</v>
      </c>
      <c r="I197" s="1118">
        <v>-648.00000000003524</v>
      </c>
      <c r="J197" s="915"/>
      <c r="K197" s="436" t="s">
        <v>1016</v>
      </c>
      <c r="L197" s="520"/>
    </row>
    <row r="198" spans="1:14" ht="16.5" customHeight="1" x14ac:dyDescent="0.2">
      <c r="A198" s="1374">
        <f>A197+1</f>
        <v>140</v>
      </c>
      <c r="B198" s="1375"/>
      <c r="C198" s="658" t="s">
        <v>1049</v>
      </c>
      <c r="D198" s="659">
        <v>33</v>
      </c>
      <c r="E198" s="774" t="s">
        <v>10</v>
      </c>
      <c r="F198" s="651">
        <f>'Generation Reading'!K796</f>
        <v>0</v>
      </c>
      <c r="G198" s="651">
        <f>'Generation Reading'!K797</f>
        <v>0</v>
      </c>
      <c r="H198" s="932">
        <f t="shared" ref="H198:H274" si="25">F198-G198</f>
        <v>0</v>
      </c>
      <c r="I198" s="384">
        <v>0</v>
      </c>
      <c r="J198" s="909"/>
      <c r="K198" s="436" t="s">
        <v>1017</v>
      </c>
      <c r="L198" s="520" t="s">
        <v>1263</v>
      </c>
    </row>
    <row r="199" spans="1:14" ht="16.5" customHeight="1" x14ac:dyDescent="0.2">
      <c r="A199" s="1374">
        <f>A198+1</f>
        <v>141</v>
      </c>
      <c r="B199" s="1375"/>
      <c r="C199" s="652" t="s">
        <v>825</v>
      </c>
      <c r="D199" s="774">
        <v>230</v>
      </c>
      <c r="E199" s="774" t="s">
        <v>10</v>
      </c>
      <c r="F199" s="651">
        <f>'Generation Reading'!K254</f>
        <v>0</v>
      </c>
      <c r="G199" s="651">
        <f>'Generation Reading'!K255</f>
        <v>0</v>
      </c>
      <c r="H199" s="932">
        <f t="shared" si="25"/>
        <v>0</v>
      </c>
      <c r="I199" s="384">
        <v>0</v>
      </c>
      <c r="J199" s="909"/>
      <c r="K199" s="975" t="s">
        <v>826</v>
      </c>
      <c r="L199" s="520"/>
    </row>
    <row r="200" spans="1:14" ht="16.5" customHeight="1" x14ac:dyDescent="0.2">
      <c r="A200" s="1374">
        <f t="shared" ref="A200:A219" si="26">A199+1</f>
        <v>142</v>
      </c>
      <c r="B200" s="1375"/>
      <c r="C200" s="652" t="s">
        <v>930</v>
      </c>
      <c r="D200" s="659">
        <v>33</v>
      </c>
      <c r="E200" s="774" t="s">
        <v>10</v>
      </c>
      <c r="F200" s="651">
        <f>'Generation Reading'!K713</f>
        <v>0</v>
      </c>
      <c r="G200" s="651">
        <f>'Generation Reading'!K714</f>
        <v>0</v>
      </c>
      <c r="H200" s="932">
        <f t="shared" si="25"/>
        <v>0</v>
      </c>
      <c r="I200" s="384">
        <v>0</v>
      </c>
      <c r="J200" s="909"/>
      <c r="K200" s="436" t="s">
        <v>849</v>
      </c>
      <c r="L200" s="520"/>
    </row>
    <row r="201" spans="1:14" ht="16.5" customHeight="1" x14ac:dyDescent="0.2">
      <c r="A201" s="1374">
        <f t="shared" si="26"/>
        <v>143</v>
      </c>
      <c r="B201" s="1375"/>
      <c r="C201" s="652" t="s">
        <v>923</v>
      </c>
      <c r="D201" s="659">
        <v>33</v>
      </c>
      <c r="E201" s="774" t="s">
        <v>10</v>
      </c>
      <c r="F201" s="651">
        <f>'Generation Reading'!K506</f>
        <v>0</v>
      </c>
      <c r="G201" s="651">
        <f>'Generation Reading'!K507</f>
        <v>0</v>
      </c>
      <c r="H201" s="932">
        <f t="shared" si="25"/>
        <v>0</v>
      </c>
      <c r="I201" s="384">
        <v>0</v>
      </c>
      <c r="J201" s="909"/>
      <c r="K201" s="436"/>
      <c r="L201" s="520"/>
    </row>
    <row r="202" spans="1:14" ht="16.5" customHeight="1" x14ac:dyDescent="0.2">
      <c r="A202" s="1374">
        <f t="shared" si="26"/>
        <v>144</v>
      </c>
      <c r="B202" s="1375"/>
      <c r="C202" s="652" t="s">
        <v>925</v>
      </c>
      <c r="D202" s="659">
        <v>33</v>
      </c>
      <c r="E202" s="774" t="s">
        <v>10</v>
      </c>
      <c r="F202" s="651">
        <f>'Generation Reading'!K499</f>
        <v>0</v>
      </c>
      <c r="G202" s="651">
        <f>'Generation Reading'!K504</f>
        <v>8236.7999999999884</v>
      </c>
      <c r="H202" s="932">
        <f t="shared" si="25"/>
        <v>-8236.7999999999884</v>
      </c>
      <c r="I202" s="384">
        <v>-15587.999999999993</v>
      </c>
      <c r="J202" s="909"/>
      <c r="K202" s="436" t="s">
        <v>926</v>
      </c>
      <c r="L202" s="520"/>
    </row>
    <row r="203" spans="1:14" ht="16.5" customHeight="1" x14ac:dyDescent="0.2">
      <c r="A203" s="1374">
        <f t="shared" si="26"/>
        <v>145</v>
      </c>
      <c r="B203" s="1375"/>
      <c r="C203" s="652" t="s">
        <v>909</v>
      </c>
      <c r="D203" s="659">
        <v>132</v>
      </c>
      <c r="E203" s="774" t="s">
        <v>10</v>
      </c>
      <c r="F203" s="651">
        <f>'Generation Reading'!K492</f>
        <v>27441912.000000011</v>
      </c>
      <c r="G203" s="651">
        <f>'Generation Reading'!K493</f>
        <v>2795.999999999985</v>
      </c>
      <c r="H203" s="932">
        <f t="shared" si="25"/>
        <v>27439116.000000011</v>
      </c>
      <c r="I203" s="384">
        <v>31363919.999999896</v>
      </c>
      <c r="J203" s="909"/>
      <c r="K203" s="436" t="s">
        <v>910</v>
      </c>
      <c r="L203" s="520"/>
    </row>
    <row r="204" spans="1:14" ht="16.5" customHeight="1" x14ac:dyDescent="0.2">
      <c r="A204" s="1374">
        <f t="shared" si="26"/>
        <v>146</v>
      </c>
      <c r="B204" s="1375"/>
      <c r="C204" s="652" t="s">
        <v>1030</v>
      </c>
      <c r="D204" s="659">
        <v>132</v>
      </c>
      <c r="E204" s="774" t="s">
        <v>10</v>
      </c>
      <c r="F204" s="651">
        <f>'Generation Reading'!K522</f>
        <v>0</v>
      </c>
      <c r="G204" s="651">
        <f>'Generation Reading'!K523</f>
        <v>0</v>
      </c>
      <c r="H204" s="932">
        <f t="shared" si="25"/>
        <v>0</v>
      </c>
      <c r="I204" s="384">
        <v>0</v>
      </c>
      <c r="J204" s="909"/>
      <c r="K204" s="760" t="s">
        <v>1032</v>
      </c>
      <c r="L204" s="520"/>
    </row>
    <row r="205" spans="1:14" ht="16.5" customHeight="1" x14ac:dyDescent="0.2">
      <c r="A205" s="1374">
        <f t="shared" si="26"/>
        <v>147</v>
      </c>
      <c r="B205" s="1375"/>
      <c r="C205" s="652" t="s">
        <v>911</v>
      </c>
      <c r="D205" s="659">
        <v>132</v>
      </c>
      <c r="E205" s="774" t="s">
        <v>10</v>
      </c>
      <c r="F205" s="651">
        <f>'Generation Reading'!K514</f>
        <v>0</v>
      </c>
      <c r="G205" s="651">
        <f>'Generation Reading'!K515</f>
        <v>0</v>
      </c>
      <c r="H205" s="932">
        <f t="shared" si="25"/>
        <v>0</v>
      </c>
      <c r="I205" s="384">
        <v>0</v>
      </c>
      <c r="J205" s="909"/>
      <c r="K205" s="436" t="s">
        <v>912</v>
      </c>
      <c r="L205" s="520"/>
    </row>
    <row r="206" spans="1:14" ht="16.5" customHeight="1" x14ac:dyDescent="0.2">
      <c r="A206" s="1374">
        <f t="shared" si="26"/>
        <v>148</v>
      </c>
      <c r="B206" s="1375"/>
      <c r="C206" s="671" t="s">
        <v>954</v>
      </c>
      <c r="D206" s="659">
        <v>132</v>
      </c>
      <c r="E206" s="774" t="s">
        <v>10</v>
      </c>
      <c r="F206" s="653">
        <f>'Generation Reading'!K672</f>
        <v>0</v>
      </c>
      <c r="G206" s="653">
        <f>'Generation Reading'!K673</f>
        <v>0</v>
      </c>
      <c r="H206" s="939">
        <f t="shared" si="25"/>
        <v>0</v>
      </c>
      <c r="I206" s="1119">
        <v>0</v>
      </c>
      <c r="J206" s="909"/>
      <c r="K206" s="436" t="s">
        <v>949</v>
      </c>
      <c r="L206" s="520"/>
    </row>
    <row r="207" spans="1:14" ht="16.5" customHeight="1" x14ac:dyDescent="0.2">
      <c r="A207" s="1374">
        <f t="shared" si="26"/>
        <v>149</v>
      </c>
      <c r="B207" s="1375"/>
      <c r="C207" s="671" t="s">
        <v>1047</v>
      </c>
      <c r="D207" s="659">
        <v>132</v>
      </c>
      <c r="E207" s="774" t="s">
        <v>10</v>
      </c>
      <c r="F207" s="651">
        <f>'Generation Reading'!K635</f>
        <v>49516943.999999784</v>
      </c>
      <c r="G207" s="651">
        <f>'Generation Reading'!K636</f>
        <v>4800.000000000111</v>
      </c>
      <c r="H207" s="932">
        <f t="shared" si="25"/>
        <v>49512143.999999784</v>
      </c>
      <c r="I207" s="384">
        <v>54706584.000000663</v>
      </c>
      <c r="J207" s="909"/>
      <c r="K207" s="436" t="s">
        <v>947</v>
      </c>
      <c r="L207" s="520"/>
    </row>
    <row r="208" spans="1:14" ht="16.5" customHeight="1" x14ac:dyDescent="0.2">
      <c r="A208" s="1374">
        <f t="shared" si="26"/>
        <v>150</v>
      </c>
      <c r="B208" s="1375"/>
      <c r="C208" s="671" t="s">
        <v>948</v>
      </c>
      <c r="D208" s="659">
        <v>132</v>
      </c>
      <c r="E208" s="774" t="s">
        <v>10</v>
      </c>
      <c r="F208" s="651">
        <f>'Generation Reading'!K698</f>
        <v>0</v>
      </c>
      <c r="G208" s="651">
        <f>'Generation Reading'!K699</f>
        <v>0</v>
      </c>
      <c r="H208" s="932">
        <f t="shared" si="25"/>
        <v>0</v>
      </c>
      <c r="I208" s="384">
        <v>0</v>
      </c>
      <c r="J208" s="909"/>
      <c r="K208" s="436" t="s">
        <v>949</v>
      </c>
      <c r="L208" s="520"/>
    </row>
    <row r="209" spans="1:15" ht="16.5" customHeight="1" x14ac:dyDescent="0.2">
      <c r="A209" s="1374">
        <f t="shared" si="26"/>
        <v>151</v>
      </c>
      <c r="B209" s="1375"/>
      <c r="C209" s="671" t="s">
        <v>955</v>
      </c>
      <c r="D209" s="659">
        <v>33</v>
      </c>
      <c r="E209" s="774" t="s">
        <v>10</v>
      </c>
      <c r="F209" s="651">
        <f>'Generation Reading'!K669</f>
        <v>0</v>
      </c>
      <c r="G209" s="651">
        <f>'Generation Reading'!K670</f>
        <v>2791.3500000000654</v>
      </c>
      <c r="H209" s="932">
        <f t="shared" si="25"/>
        <v>-2791.3500000000654</v>
      </c>
      <c r="I209" s="384">
        <v>-10619.999999999933</v>
      </c>
      <c r="J209" s="909"/>
      <c r="K209" s="436" t="s">
        <v>956</v>
      </c>
      <c r="L209" s="520"/>
    </row>
    <row r="210" spans="1:15" ht="16.5" customHeight="1" x14ac:dyDescent="0.2">
      <c r="A210" s="1374">
        <f t="shared" si="26"/>
        <v>152</v>
      </c>
      <c r="B210" s="1375"/>
      <c r="C210" s="671" t="s">
        <v>1367</v>
      </c>
      <c r="D210" s="659">
        <v>132</v>
      </c>
      <c r="E210" s="774" t="s">
        <v>10</v>
      </c>
      <c r="F210" s="651">
        <f>'Generation Reading'!K660</f>
        <v>0</v>
      </c>
      <c r="G210" s="651">
        <f>'Generation Reading'!K661</f>
        <v>14621.999999999869</v>
      </c>
      <c r="H210" s="932">
        <f t="shared" si="25"/>
        <v>-14621.999999999869</v>
      </c>
      <c r="I210" s="384">
        <v>-7193.9999999999673</v>
      </c>
      <c r="J210" s="909"/>
      <c r="K210" s="436" t="s">
        <v>941</v>
      </c>
      <c r="L210" s="520"/>
    </row>
    <row r="211" spans="1:15" ht="16.5" customHeight="1" x14ac:dyDescent="0.2">
      <c r="A211" s="1374">
        <f t="shared" si="26"/>
        <v>153</v>
      </c>
      <c r="B211" s="1375"/>
      <c r="C211" s="671" t="s">
        <v>1368</v>
      </c>
      <c r="D211" s="659">
        <v>132</v>
      </c>
      <c r="E211" s="774" t="s">
        <v>10</v>
      </c>
      <c r="F211" s="651">
        <f>'Generation Reading'!K663</f>
        <v>0</v>
      </c>
      <c r="G211" s="651">
        <f>'Generation Reading'!K664</f>
        <v>38304.000000000255</v>
      </c>
      <c r="H211" s="932">
        <f t="shared" si="25"/>
        <v>-38304.000000000255</v>
      </c>
      <c r="I211" s="384">
        <v>-37164.59999999978</v>
      </c>
      <c r="J211" s="909"/>
      <c r="K211" s="436" t="s">
        <v>942</v>
      </c>
      <c r="L211" s="520"/>
    </row>
    <row r="212" spans="1:15" ht="14.1" customHeight="1" x14ac:dyDescent="0.2">
      <c r="A212" s="1374">
        <f t="shared" si="26"/>
        <v>154</v>
      </c>
      <c r="B212" s="1375"/>
      <c r="C212" s="652" t="s">
        <v>893</v>
      </c>
      <c r="D212" s="659">
        <v>33</v>
      </c>
      <c r="E212" s="774" t="s">
        <v>10</v>
      </c>
      <c r="F212" s="651">
        <f>'Generation Reading'!K287</f>
        <v>0</v>
      </c>
      <c r="G212" s="651">
        <f>'Generation Reading'!K288</f>
        <v>14400.000000000035</v>
      </c>
      <c r="H212" s="932">
        <f t="shared" si="25"/>
        <v>-14400.000000000035</v>
      </c>
      <c r="I212" s="384">
        <v>-14400.000000000035</v>
      </c>
      <c r="J212" s="909"/>
      <c r="K212" s="436" t="s">
        <v>849</v>
      </c>
      <c r="L212" s="520"/>
    </row>
    <row r="213" spans="1:15" ht="14.1" customHeight="1" x14ac:dyDescent="0.2">
      <c r="A213" s="1374">
        <f t="shared" si="26"/>
        <v>155</v>
      </c>
      <c r="B213" s="1375"/>
      <c r="C213" s="652" t="s">
        <v>894</v>
      </c>
      <c r="D213" s="659">
        <v>33</v>
      </c>
      <c r="E213" s="774" t="s">
        <v>10</v>
      </c>
      <c r="F213" s="651">
        <f>'Generation Reading'!K293</f>
        <v>16291199.999999961</v>
      </c>
      <c r="G213" s="651">
        <f>'Generation Reading'!K297</f>
        <v>442079.99999999837</v>
      </c>
      <c r="H213" s="932">
        <f t="shared" si="25"/>
        <v>15849119.999999963</v>
      </c>
      <c r="I213" s="384">
        <v>10930080.000000089</v>
      </c>
      <c r="J213" s="909"/>
      <c r="K213" s="436" t="s">
        <v>895</v>
      </c>
      <c r="L213" s="520"/>
      <c r="O213" s="365" t="s">
        <v>1329</v>
      </c>
    </row>
    <row r="214" spans="1:15" ht="14.1" customHeight="1" x14ac:dyDescent="0.2">
      <c r="A214" s="1374">
        <f t="shared" si="26"/>
        <v>156</v>
      </c>
      <c r="B214" s="1375"/>
      <c r="C214" s="652" t="s">
        <v>985</v>
      </c>
      <c r="D214" s="659">
        <v>33</v>
      </c>
      <c r="E214" s="774" t="s">
        <v>10</v>
      </c>
      <c r="F214" s="651">
        <f>'Generation Reading'!K1054</f>
        <v>5378812.8000000138</v>
      </c>
      <c r="G214" s="651">
        <f>'Generation Reading'!K1058</f>
        <v>0</v>
      </c>
      <c r="H214" s="932">
        <f t="shared" si="25"/>
        <v>5378812.8000000138</v>
      </c>
      <c r="I214" s="384">
        <v>5523760.7999999998</v>
      </c>
      <c r="J214" s="909"/>
      <c r="K214" s="436" t="s">
        <v>986</v>
      </c>
      <c r="L214" s="520"/>
    </row>
    <row r="215" spans="1:15" ht="14.1" customHeight="1" x14ac:dyDescent="0.2">
      <c r="A215" s="1374">
        <f t="shared" si="26"/>
        <v>157</v>
      </c>
      <c r="B215" s="1375"/>
      <c r="C215" s="652" t="s">
        <v>786</v>
      </c>
      <c r="D215" s="659">
        <v>132</v>
      </c>
      <c r="E215" s="774" t="s">
        <v>10</v>
      </c>
      <c r="F215" s="651">
        <f>'Generation Reading'!K251</f>
        <v>0</v>
      </c>
      <c r="G215" s="651">
        <f>'Generation Reading'!K252</f>
        <v>0</v>
      </c>
      <c r="H215" s="932">
        <f t="shared" si="25"/>
        <v>0</v>
      </c>
      <c r="I215" s="384">
        <v>0</v>
      </c>
      <c r="J215" s="909"/>
      <c r="K215" s="436"/>
      <c r="L215" s="520"/>
    </row>
    <row r="216" spans="1:15" ht="14.1" customHeight="1" x14ac:dyDescent="0.2">
      <c r="A216" s="1374">
        <f t="shared" si="26"/>
        <v>158</v>
      </c>
      <c r="B216" s="1375"/>
      <c r="C216" s="652" t="s">
        <v>1257</v>
      </c>
      <c r="D216" s="774">
        <v>230</v>
      </c>
      <c r="E216" s="774" t="s">
        <v>10</v>
      </c>
      <c r="F216" s="384">
        <f>'Generation Reading'!K282</f>
        <v>0</v>
      </c>
      <c r="G216" s="384">
        <v>0</v>
      </c>
      <c r="H216" s="932">
        <f t="shared" si="25"/>
        <v>0</v>
      </c>
      <c r="I216" s="384">
        <v>0</v>
      </c>
      <c r="J216" s="918"/>
      <c r="K216" s="436"/>
      <c r="L216" s="520"/>
    </row>
    <row r="217" spans="1:15" ht="14.1" customHeight="1" x14ac:dyDescent="0.2">
      <c r="A217" s="1374">
        <f t="shared" si="26"/>
        <v>159</v>
      </c>
      <c r="B217" s="1375"/>
      <c r="C217" s="671" t="s">
        <v>957</v>
      </c>
      <c r="D217" s="659">
        <v>33</v>
      </c>
      <c r="E217" s="774" t="s">
        <v>10</v>
      </c>
      <c r="F217" s="651">
        <f>'Generation Reading'!K691</f>
        <v>0</v>
      </c>
      <c r="G217" s="651">
        <f>'Generation Reading'!K692</f>
        <v>1862.3999999999228</v>
      </c>
      <c r="H217" s="932">
        <f t="shared" si="25"/>
        <v>-1862.3999999999228</v>
      </c>
      <c r="I217" s="384">
        <v>-7785.6000000001022</v>
      </c>
      <c r="J217" s="909"/>
      <c r="K217" s="436" t="s">
        <v>958</v>
      </c>
      <c r="L217" s="520"/>
    </row>
    <row r="218" spans="1:15" ht="14.1" customHeight="1" x14ac:dyDescent="0.2">
      <c r="A218" s="1374">
        <f t="shared" si="26"/>
        <v>160</v>
      </c>
      <c r="B218" s="1375"/>
      <c r="C218" s="652" t="s">
        <v>989</v>
      </c>
      <c r="D218" s="659">
        <v>230</v>
      </c>
      <c r="E218" s="774" t="s">
        <v>10</v>
      </c>
      <c r="F218" s="651">
        <f>'Generation Reading'!K1080</f>
        <v>0</v>
      </c>
      <c r="G218" s="651">
        <f>'Generation Reading'!K1081</f>
        <v>0</v>
      </c>
      <c r="H218" s="932">
        <f t="shared" si="25"/>
        <v>0</v>
      </c>
      <c r="I218" s="384">
        <v>0</v>
      </c>
      <c r="J218" s="909"/>
      <c r="K218" s="436" t="s">
        <v>990</v>
      </c>
      <c r="L218" s="520"/>
    </row>
    <row r="219" spans="1:15" ht="14.1" customHeight="1" x14ac:dyDescent="0.2">
      <c r="A219" s="1374">
        <f t="shared" si="26"/>
        <v>161</v>
      </c>
      <c r="B219" s="1375"/>
      <c r="C219" s="652" t="s">
        <v>1293</v>
      </c>
      <c r="D219" s="659">
        <v>132</v>
      </c>
      <c r="E219" s="774" t="s">
        <v>10</v>
      </c>
      <c r="F219" s="651">
        <f>'Generation Reading'!K306</f>
        <v>2509927.2686349801</v>
      </c>
      <c r="G219" s="651">
        <f>'Generation Reading'!K307</f>
        <v>206749.09057199952</v>
      </c>
      <c r="H219" s="932">
        <f t="shared" si="25"/>
        <v>2303178.1780629805</v>
      </c>
      <c r="I219" s="384">
        <v>11653723.617362998</v>
      </c>
      <c r="J219" s="919"/>
      <c r="K219" s="436"/>
      <c r="L219" s="520"/>
    </row>
    <row r="220" spans="1:15" ht="16.5" customHeight="1" x14ac:dyDescent="0.2">
      <c r="A220" s="1384" t="s">
        <v>787</v>
      </c>
      <c r="B220" s="1385"/>
      <c r="C220" s="1385"/>
      <c r="D220" s="659"/>
      <c r="E220" s="774"/>
      <c r="F220" s="654">
        <f>SUM(F197:F219)</f>
        <v>101138796.06863473</v>
      </c>
      <c r="G220" s="654">
        <f>SUM(G197:G219)</f>
        <v>737313.64057199808</v>
      </c>
      <c r="H220" s="935">
        <f>SUM(H197:H219)</f>
        <v>100401482.42806274</v>
      </c>
      <c r="I220" s="1114">
        <v>114084668.21736366</v>
      </c>
      <c r="J220" s="909"/>
      <c r="K220" s="757">
        <f>SUM(H197:H218)</f>
        <v>98098304.249999762</v>
      </c>
      <c r="L220" s="520"/>
    </row>
    <row r="221" spans="1:15" ht="14.1" customHeight="1" x14ac:dyDescent="0.2">
      <c r="A221" s="1367">
        <f>A219+1</f>
        <v>162</v>
      </c>
      <c r="B221" s="1368"/>
      <c r="C221" s="652" t="s">
        <v>973</v>
      </c>
      <c r="D221" s="659">
        <v>132</v>
      </c>
      <c r="E221" s="774" t="s">
        <v>13</v>
      </c>
      <c r="F221" s="651">
        <f>'Generation Reading'!K949</f>
        <v>0</v>
      </c>
      <c r="G221" s="651">
        <f>'Generation Reading'!K952</f>
        <v>0</v>
      </c>
      <c r="H221" s="932">
        <f t="shared" si="25"/>
        <v>0</v>
      </c>
      <c r="I221" s="384">
        <v>0</v>
      </c>
      <c r="J221" s="909"/>
      <c r="K221" s="436" t="s">
        <v>974</v>
      </c>
      <c r="L221" s="520"/>
    </row>
    <row r="222" spans="1:15" ht="14.1" customHeight="1" x14ac:dyDescent="0.2">
      <c r="A222" s="1367">
        <f t="shared" ref="A222:A232" si="27">+A221+1</f>
        <v>163</v>
      </c>
      <c r="B222" s="1368"/>
      <c r="C222" s="652" t="s">
        <v>977</v>
      </c>
      <c r="D222" s="659">
        <v>33</v>
      </c>
      <c r="E222" s="774" t="s">
        <v>13</v>
      </c>
      <c r="F222" s="651">
        <f>'Generation Reading'!K997</f>
        <v>0</v>
      </c>
      <c r="G222" s="651">
        <f>'Generation Reading'!K998</f>
        <v>0</v>
      </c>
      <c r="H222" s="932">
        <f t="shared" si="25"/>
        <v>0</v>
      </c>
      <c r="I222" s="384">
        <v>-4828.124999999739</v>
      </c>
      <c r="J222" s="909"/>
      <c r="K222" s="436" t="s">
        <v>978</v>
      </c>
      <c r="L222" s="520"/>
    </row>
    <row r="223" spans="1:15" ht="14.1" customHeight="1" x14ac:dyDescent="0.2">
      <c r="A223" s="1367">
        <f t="shared" si="27"/>
        <v>164</v>
      </c>
      <c r="B223" s="1368"/>
      <c r="C223" s="652" t="s">
        <v>788</v>
      </c>
      <c r="D223" s="774">
        <v>132</v>
      </c>
      <c r="E223" s="774" t="s">
        <v>13</v>
      </c>
      <c r="F223" s="651">
        <f>'Generation Reading'!K994</f>
        <v>0</v>
      </c>
      <c r="G223" s="651">
        <f>'Generation Reading'!K995</f>
        <v>0</v>
      </c>
      <c r="H223" s="932">
        <f t="shared" si="25"/>
        <v>0</v>
      </c>
      <c r="I223" s="384">
        <v>0</v>
      </c>
      <c r="J223" s="909"/>
      <c r="K223" s="436"/>
      <c r="L223" s="520"/>
    </row>
    <row r="224" spans="1:15" ht="14.1" customHeight="1" x14ac:dyDescent="0.2">
      <c r="A224" s="1367">
        <f t="shared" si="27"/>
        <v>165</v>
      </c>
      <c r="B224" s="1368"/>
      <c r="C224" s="652" t="s">
        <v>842</v>
      </c>
      <c r="D224" s="774">
        <v>132</v>
      </c>
      <c r="E224" s="774" t="s">
        <v>13</v>
      </c>
      <c r="F224" s="651">
        <f>'Generation Reading'!K192</f>
        <v>0</v>
      </c>
      <c r="G224" s="651">
        <f>'Generation Reading'!K193</f>
        <v>0</v>
      </c>
      <c r="H224" s="932">
        <f t="shared" si="25"/>
        <v>0</v>
      </c>
      <c r="I224" s="384">
        <v>0</v>
      </c>
      <c r="J224" s="909"/>
      <c r="K224" s="436" t="s">
        <v>843</v>
      </c>
      <c r="L224" s="520"/>
    </row>
    <row r="225" spans="1:13" ht="14.1" customHeight="1" x14ac:dyDescent="0.2">
      <c r="A225" s="1367">
        <f t="shared" si="27"/>
        <v>166</v>
      </c>
      <c r="B225" s="1368"/>
      <c r="C225" s="658" t="s">
        <v>841</v>
      </c>
      <c r="D225" s="774">
        <v>132</v>
      </c>
      <c r="E225" s="774" t="s">
        <v>13</v>
      </c>
      <c r="F225" s="651">
        <f>'Generation Reading'!K139</f>
        <v>0</v>
      </c>
      <c r="G225" s="651">
        <f>'Generation Reading'!K140</f>
        <v>71232.000000000262</v>
      </c>
      <c r="H225" s="932">
        <f t="shared" si="25"/>
        <v>-71232.000000000262</v>
      </c>
      <c r="I225" s="384">
        <v>-69023.999999999432</v>
      </c>
      <c r="J225" s="909"/>
      <c r="K225" s="436" t="s">
        <v>839</v>
      </c>
      <c r="L225" s="520"/>
    </row>
    <row r="226" spans="1:13" ht="16.5" customHeight="1" x14ac:dyDescent="0.2">
      <c r="A226" s="1367">
        <f t="shared" si="27"/>
        <v>167</v>
      </c>
      <c r="B226" s="1368"/>
      <c r="C226" s="658" t="s">
        <v>838</v>
      </c>
      <c r="D226" s="774">
        <v>132</v>
      </c>
      <c r="E226" s="774" t="s">
        <v>13</v>
      </c>
      <c r="F226" s="651">
        <f>'Generation Reading'!K98</f>
        <v>0</v>
      </c>
      <c r="G226" s="651">
        <f>'Generation Reading'!K99</f>
        <v>47865.599999999802</v>
      </c>
      <c r="H226" s="932">
        <f t="shared" si="25"/>
        <v>-47865.599999999802</v>
      </c>
      <c r="I226" s="384">
        <v>-52079.999999999702</v>
      </c>
      <c r="J226" s="909"/>
      <c r="K226" s="436" t="s">
        <v>839</v>
      </c>
      <c r="L226" s="520"/>
    </row>
    <row r="227" spans="1:13" ht="16.5" customHeight="1" x14ac:dyDescent="0.2">
      <c r="A227" s="1367">
        <f t="shared" si="27"/>
        <v>168</v>
      </c>
      <c r="B227" s="1368"/>
      <c r="C227" s="652" t="s">
        <v>1031</v>
      </c>
      <c r="D227" s="774">
        <v>132</v>
      </c>
      <c r="E227" s="774" t="s">
        <v>13</v>
      </c>
      <c r="F227" s="651">
        <f>'Generation Reading'!K340</f>
        <v>0</v>
      </c>
      <c r="G227" s="651">
        <f>'Generation Reading'!K341</f>
        <v>0</v>
      </c>
      <c r="H227" s="932">
        <f t="shared" si="25"/>
        <v>0</v>
      </c>
      <c r="I227" s="384">
        <v>0</v>
      </c>
      <c r="J227" s="909"/>
      <c r="K227" s="760" t="s">
        <v>1032</v>
      </c>
      <c r="L227" s="520"/>
      <c r="M227" s="11">
        <f>SUM(F221:F225)+SUM(F226:F237)</f>
        <v>322455458.22621614</v>
      </c>
    </row>
    <row r="228" spans="1:13" ht="16.5" customHeight="1" x14ac:dyDescent="0.2">
      <c r="A228" s="1367">
        <f t="shared" si="27"/>
        <v>169</v>
      </c>
      <c r="B228" s="1368"/>
      <c r="C228" s="652" t="s">
        <v>1001</v>
      </c>
      <c r="D228" s="774">
        <v>132</v>
      </c>
      <c r="E228" s="774" t="s">
        <v>13</v>
      </c>
      <c r="F228" s="651">
        <f>'Generation Reading'!K746</f>
        <v>0</v>
      </c>
      <c r="G228" s="651">
        <f>'Generation Reading'!K747</f>
        <v>0</v>
      </c>
      <c r="H228" s="932">
        <f t="shared" si="25"/>
        <v>0</v>
      </c>
      <c r="I228" s="384">
        <v>0</v>
      </c>
      <c r="J228" s="909"/>
      <c r="K228" s="436" t="s">
        <v>1002</v>
      </c>
      <c r="L228" s="520"/>
    </row>
    <row r="229" spans="1:13" ht="16.5" customHeight="1" x14ac:dyDescent="0.2">
      <c r="A229" s="1367">
        <f t="shared" si="27"/>
        <v>170</v>
      </c>
      <c r="B229" s="1368"/>
      <c r="C229" s="652" t="s">
        <v>846</v>
      </c>
      <c r="D229" s="774">
        <v>132</v>
      </c>
      <c r="E229" s="774" t="s">
        <v>13</v>
      </c>
      <c r="F229" s="651">
        <f>'Generation Reading'!K145</f>
        <v>0</v>
      </c>
      <c r="G229" s="651">
        <f>'Generation Reading'!K146</f>
        <v>42696.000000001957</v>
      </c>
      <c r="H229" s="932">
        <f t="shared" si="25"/>
        <v>-42696.000000001957</v>
      </c>
      <c r="I229" s="384">
        <v>-47519.999999998392</v>
      </c>
      <c r="J229" s="909"/>
      <c r="K229" s="436" t="s">
        <v>847</v>
      </c>
      <c r="L229" s="520"/>
    </row>
    <row r="230" spans="1:13" ht="16.5" customHeight="1" x14ac:dyDescent="0.2">
      <c r="A230" s="1367">
        <f t="shared" si="27"/>
        <v>171</v>
      </c>
      <c r="B230" s="1368"/>
      <c r="C230" s="652" t="s">
        <v>887</v>
      </c>
      <c r="D230" s="774">
        <v>132</v>
      </c>
      <c r="E230" s="774" t="s">
        <v>13</v>
      </c>
      <c r="F230" s="651">
        <f>'Generation Reading'!K358</f>
        <v>0</v>
      </c>
      <c r="G230" s="651">
        <f>'Generation Reading'!K359</f>
        <v>0</v>
      </c>
      <c r="H230" s="932">
        <f t="shared" si="25"/>
        <v>0</v>
      </c>
      <c r="I230" s="384">
        <v>0</v>
      </c>
      <c r="J230" s="909"/>
      <c r="K230" s="436" t="s">
        <v>847</v>
      </c>
      <c r="L230" s="520"/>
    </row>
    <row r="231" spans="1:13" ht="16.5" customHeight="1" x14ac:dyDescent="0.2">
      <c r="A231" s="1367">
        <f t="shared" si="27"/>
        <v>172</v>
      </c>
      <c r="B231" s="1368"/>
      <c r="C231" s="652" t="s">
        <v>888</v>
      </c>
      <c r="D231" s="774">
        <v>132</v>
      </c>
      <c r="E231" s="774" t="s">
        <v>13</v>
      </c>
      <c r="F231" s="651">
        <f>'Generation Reading'!K389</f>
        <v>29825222.399999913</v>
      </c>
      <c r="G231" s="651">
        <f>'Generation Reading'!K390</f>
        <v>103468.79999999999</v>
      </c>
      <c r="H231" s="932">
        <f t="shared" si="25"/>
        <v>29721753.599999912</v>
      </c>
      <c r="I231" s="384">
        <v>49863839.999999881</v>
      </c>
      <c r="J231" s="909"/>
      <c r="K231" s="436" t="s">
        <v>847</v>
      </c>
      <c r="L231" s="520"/>
    </row>
    <row r="232" spans="1:13" ht="16.5" customHeight="1" x14ac:dyDescent="0.2">
      <c r="A232" s="1367">
        <f t="shared" si="27"/>
        <v>173</v>
      </c>
      <c r="B232" s="1368"/>
      <c r="C232" s="652" t="s">
        <v>1006</v>
      </c>
      <c r="D232" s="774">
        <v>132</v>
      </c>
      <c r="E232" s="774" t="s">
        <v>13</v>
      </c>
      <c r="F232" s="651">
        <f>'Generation Reading'!K749</f>
        <v>0</v>
      </c>
      <c r="G232" s="651">
        <f>'Generation Reading'!K750</f>
        <v>0</v>
      </c>
      <c r="H232" s="932">
        <f t="shared" si="25"/>
        <v>0</v>
      </c>
      <c r="I232" s="384">
        <v>0</v>
      </c>
      <c r="J232" s="909"/>
      <c r="K232" s="436" t="s">
        <v>996</v>
      </c>
      <c r="L232" s="520"/>
    </row>
    <row r="233" spans="1:13" ht="16.5" customHeight="1" x14ac:dyDescent="0.2">
      <c r="A233" s="1374">
        <f>A232+1</f>
        <v>174</v>
      </c>
      <c r="B233" s="1375"/>
      <c r="C233" s="652" t="s">
        <v>1191</v>
      </c>
      <c r="D233" s="774">
        <v>132</v>
      </c>
      <c r="E233" s="774" t="s">
        <v>13</v>
      </c>
      <c r="F233" s="651">
        <f>'Generation Reading'!K392</f>
        <v>23754624.000000041</v>
      </c>
      <c r="G233" s="651">
        <f>'Generation Reading'!K393</f>
        <v>124896.0000000001</v>
      </c>
      <c r="H233" s="932">
        <f t="shared" si="25"/>
        <v>23629728.000000041</v>
      </c>
      <c r="I233" s="384">
        <v>27091775.999999896</v>
      </c>
      <c r="J233" s="909"/>
      <c r="K233" s="436"/>
      <c r="L233" s="520"/>
    </row>
    <row r="234" spans="1:13" ht="16.5" customHeight="1" x14ac:dyDescent="0.2">
      <c r="A234" s="1374">
        <f>A233+1</f>
        <v>175</v>
      </c>
      <c r="B234" s="1375"/>
      <c r="C234" s="652" t="s">
        <v>1199</v>
      </c>
      <c r="D234" s="774">
        <v>132</v>
      </c>
      <c r="E234" s="774" t="s">
        <v>13</v>
      </c>
      <c r="F234" s="651">
        <f>'Generation Reading'!K121</f>
        <v>27559036.800000068</v>
      </c>
      <c r="G234" s="651">
        <f>'Generation Reading'!K122</f>
        <v>69955.200000000099</v>
      </c>
      <c r="H234" s="932">
        <f t="shared" si="25"/>
        <v>27489081.600000069</v>
      </c>
      <c r="I234" s="384">
        <v>47902967.99999997</v>
      </c>
      <c r="J234" s="909"/>
      <c r="K234" s="436"/>
      <c r="L234" s="520"/>
    </row>
    <row r="235" spans="1:13" ht="16.5" customHeight="1" x14ac:dyDescent="0.2">
      <c r="A235" s="1374">
        <f>A234+1</f>
        <v>176</v>
      </c>
      <c r="B235" s="1375"/>
      <c r="C235" s="652" t="s">
        <v>1604</v>
      </c>
      <c r="D235" s="774">
        <v>132</v>
      </c>
      <c r="E235" s="774" t="s">
        <v>13</v>
      </c>
      <c r="F235" s="651">
        <f>'Generation Reading'!K70+'Generation Reading'!K72</f>
        <v>45431520</v>
      </c>
      <c r="G235" s="651">
        <f>'Generation Reading'!K71+'Generation Reading'!K73</f>
        <v>31080.000000000007</v>
      </c>
      <c r="H235" s="932">
        <f t="shared" si="25"/>
        <v>45400440</v>
      </c>
      <c r="I235" s="384">
        <v>51898080.000000007</v>
      </c>
      <c r="J235" s="988"/>
      <c r="K235" s="436"/>
      <c r="L235" s="520"/>
    </row>
    <row r="236" spans="1:13" ht="16.5" customHeight="1" x14ac:dyDescent="0.2">
      <c r="A236" s="1374">
        <f t="shared" ref="A236:A237" si="28">A235+1</f>
        <v>177</v>
      </c>
      <c r="B236" s="1375"/>
      <c r="C236" s="652" t="s">
        <v>1203</v>
      </c>
      <c r="D236" s="960">
        <v>230</v>
      </c>
      <c r="E236" s="774" t="s">
        <v>13</v>
      </c>
      <c r="F236" s="384">
        <f>'Generation Reading'!K1099</f>
        <v>152361595.50621608</v>
      </c>
      <c r="G236" s="384">
        <f>'Generation Reading'!K1100</f>
        <v>26169.817878399845</v>
      </c>
      <c r="H236" s="932">
        <f t="shared" si="25"/>
        <v>152335425.68833768</v>
      </c>
      <c r="I236" s="384">
        <v>157408161.35679594</v>
      </c>
      <c r="J236" s="920"/>
      <c r="K236" s="436"/>
      <c r="L236" s="520"/>
    </row>
    <row r="237" spans="1:13" ht="16.5" customHeight="1" x14ac:dyDescent="0.2">
      <c r="A237" s="1374">
        <f t="shared" si="28"/>
        <v>178</v>
      </c>
      <c r="B237" s="1375"/>
      <c r="C237" s="652" t="s">
        <v>1299</v>
      </c>
      <c r="D237" s="774"/>
      <c r="E237" s="774"/>
      <c r="F237" s="384">
        <f>'Generation Reading'!K890</f>
        <v>43523459.520000033</v>
      </c>
      <c r="G237" s="384">
        <f>'Generation Reading'!K891</f>
        <v>46506.545280000639</v>
      </c>
      <c r="H237" s="932">
        <f t="shared" si="25"/>
        <v>43476952.974720031</v>
      </c>
      <c r="I237" s="384">
        <v>28533031.025280006</v>
      </c>
      <c r="J237" s="921"/>
      <c r="K237" s="436"/>
      <c r="L237" s="520"/>
    </row>
    <row r="238" spans="1:13" ht="16.5" customHeight="1" x14ac:dyDescent="0.2">
      <c r="A238" s="1384" t="s">
        <v>789</v>
      </c>
      <c r="B238" s="1385"/>
      <c r="C238" s="1385"/>
      <c r="D238" s="774"/>
      <c r="E238" s="774"/>
      <c r="F238" s="654">
        <f>SUM(F221:F237)</f>
        <v>322455458.22621614</v>
      </c>
      <c r="G238" s="654">
        <f>SUM(G221:G237)</f>
        <v>563869.96315840271</v>
      </c>
      <c r="H238" s="935">
        <f>SUM(H221:H237)</f>
        <v>321891588.26305771</v>
      </c>
      <c r="I238" s="1114">
        <v>362524404.25707567</v>
      </c>
      <c r="J238" s="909"/>
      <c r="K238" s="757"/>
      <c r="L238" s="683"/>
    </row>
    <row r="239" spans="1:13" ht="16.5" customHeight="1" x14ac:dyDescent="0.2">
      <c r="A239" s="1367">
        <f>A237+1</f>
        <v>179</v>
      </c>
      <c r="B239" s="1368"/>
      <c r="C239" s="670" t="s">
        <v>1180</v>
      </c>
      <c r="D239" s="774">
        <v>400</v>
      </c>
      <c r="E239" s="774" t="s">
        <v>11</v>
      </c>
      <c r="F239" s="651">
        <f>'Generation Reading'!K1085</f>
        <v>346675181.19924384</v>
      </c>
      <c r="G239" s="651">
        <f>'Generation Reading'!K1083</f>
        <v>0</v>
      </c>
      <c r="H239" s="932">
        <f t="shared" si="25"/>
        <v>346675181.19924384</v>
      </c>
      <c r="I239" s="384">
        <v>379969981.20965177</v>
      </c>
      <c r="J239" s="909"/>
      <c r="K239" s="757"/>
      <c r="L239" s="520"/>
    </row>
    <row r="240" spans="1:13" ht="16.5" customHeight="1" x14ac:dyDescent="0.2">
      <c r="A240" s="1367">
        <f>A239+1</f>
        <v>180</v>
      </c>
      <c r="B240" s="1368"/>
      <c r="C240" s="670" t="s">
        <v>1181</v>
      </c>
      <c r="D240" s="774">
        <v>400</v>
      </c>
      <c r="E240" s="774" t="s">
        <v>11</v>
      </c>
      <c r="F240" s="651">
        <f>'Generation Reading'!K1084</f>
        <v>0</v>
      </c>
      <c r="G240" s="651">
        <f>'Generation Reading'!K1086</f>
        <v>9397.09090944747</v>
      </c>
      <c r="H240" s="932">
        <f t="shared" si="25"/>
        <v>-9397.09090944747</v>
      </c>
      <c r="I240" s="384">
        <v>-1252.363636421582</v>
      </c>
      <c r="J240" s="909"/>
      <c r="K240" s="757"/>
      <c r="L240" s="520"/>
    </row>
    <row r="241" spans="1:12" ht="16.5" customHeight="1" x14ac:dyDescent="0.2">
      <c r="A241" s="1374">
        <f>A240+1</f>
        <v>181</v>
      </c>
      <c r="B241" s="1375"/>
      <c r="C241" s="670" t="s">
        <v>1214</v>
      </c>
      <c r="D241" s="774">
        <v>400</v>
      </c>
      <c r="E241" s="774" t="s">
        <v>11</v>
      </c>
      <c r="F241" s="651">
        <f>'Generation Reading'!K1088</f>
        <v>343369883.74366736</v>
      </c>
      <c r="G241" s="651">
        <f>'Generation Reading'!K1087</f>
        <v>0</v>
      </c>
      <c r="H241" s="932">
        <f t="shared" si="25"/>
        <v>343369883.74366736</v>
      </c>
      <c r="I241" s="384">
        <v>378895333.93658662</v>
      </c>
      <c r="J241" s="909"/>
      <c r="K241" s="757"/>
      <c r="L241" s="520"/>
    </row>
    <row r="242" spans="1:12" ht="16.5" customHeight="1" x14ac:dyDescent="0.2">
      <c r="A242" s="1367">
        <f>A241+1</f>
        <v>182</v>
      </c>
      <c r="B242" s="1368"/>
      <c r="C242" s="670" t="s">
        <v>1182</v>
      </c>
      <c r="D242" s="774">
        <v>132</v>
      </c>
      <c r="E242" s="774" t="s">
        <v>11</v>
      </c>
      <c r="F242" s="651">
        <f>'Generation Reading'!K1091</f>
        <v>0</v>
      </c>
      <c r="G242" s="651">
        <f>'Generation Reading'!K1090</f>
        <v>0</v>
      </c>
      <c r="H242" s="932">
        <f t="shared" si="25"/>
        <v>0</v>
      </c>
      <c r="I242" s="384">
        <v>-3599.9999999992838</v>
      </c>
      <c r="J242" s="909"/>
      <c r="K242" s="757"/>
      <c r="L242" s="520"/>
    </row>
    <row r="243" spans="1:12" ht="16.5" customHeight="1" x14ac:dyDescent="0.2">
      <c r="A243" s="943"/>
      <c r="B243" s="944"/>
      <c r="C243" s="946" t="s">
        <v>1412</v>
      </c>
      <c r="D243" s="944"/>
      <c r="E243" s="945"/>
      <c r="F243" s="654">
        <f>SUM(F239:F242)</f>
        <v>690045064.94291115</v>
      </c>
      <c r="G243" s="654">
        <f t="shared" ref="G243:H243" si="29">SUM(G239:G242)</f>
        <v>9397.09090944747</v>
      </c>
      <c r="H243" s="654">
        <f t="shared" si="29"/>
        <v>690035667.85200179</v>
      </c>
      <c r="I243" s="1114">
        <v>758860462.78260195</v>
      </c>
      <c r="J243" s="909"/>
      <c r="K243" s="757"/>
      <c r="L243" s="520"/>
    </row>
    <row r="244" spans="1:12" ht="16.5" customHeight="1" x14ac:dyDescent="0.2">
      <c r="A244" s="1367">
        <f>A242+1</f>
        <v>183</v>
      </c>
      <c r="B244" s="1368"/>
      <c r="C244" s="670" t="s">
        <v>1339</v>
      </c>
      <c r="D244" s="774">
        <v>400</v>
      </c>
      <c r="E244" s="774" t="s">
        <v>11</v>
      </c>
      <c r="F244" s="651">
        <f>'Generation Reading'!K970</f>
        <v>633153163.63636374</v>
      </c>
      <c r="G244" s="651">
        <f>'Generation Reading'!K974</f>
        <v>1603571.81818182</v>
      </c>
      <c r="H244" s="932">
        <f t="shared" si="25"/>
        <v>631549591.81818187</v>
      </c>
      <c r="I244" s="384">
        <v>548537596.81818235</v>
      </c>
      <c r="J244" s="909"/>
      <c r="K244" s="757"/>
      <c r="L244" s="520"/>
    </row>
    <row r="245" spans="1:12" ht="16.5" customHeight="1" x14ac:dyDescent="0.2">
      <c r="A245" s="1367">
        <f>A244+1</f>
        <v>184</v>
      </c>
      <c r="B245" s="1368"/>
      <c r="C245" s="670" t="s">
        <v>1467</v>
      </c>
      <c r="D245" s="774">
        <v>400</v>
      </c>
      <c r="E245" s="774" t="s">
        <v>11</v>
      </c>
      <c r="F245" s="651">
        <f>'Generation Reading'!K1106</f>
        <v>126927866.07604486</v>
      </c>
      <c r="G245" s="651">
        <f>'Generation Reading'!K1105</f>
        <v>772287.01026551728</v>
      </c>
      <c r="H245" s="932">
        <f t="shared" si="25"/>
        <v>126155579.06577934</v>
      </c>
      <c r="I245" s="384">
        <v>183157937.30191395</v>
      </c>
      <c r="J245" s="909"/>
      <c r="K245" s="757"/>
      <c r="L245" s="520"/>
    </row>
    <row r="246" spans="1:12" ht="16.5" customHeight="1" x14ac:dyDescent="0.2">
      <c r="A246" s="1367">
        <f>A245+1</f>
        <v>185</v>
      </c>
      <c r="B246" s="1368"/>
      <c r="C246" s="670" t="s">
        <v>1411</v>
      </c>
      <c r="D246" s="774">
        <v>400</v>
      </c>
      <c r="E246" s="774" t="s">
        <v>11</v>
      </c>
      <c r="F246" s="651">
        <f>'Generation Reading'!K765+'Generation Reading'!K767+'Generation Reading'!K769</f>
        <v>749770745.51702714</v>
      </c>
      <c r="G246" s="651">
        <f>'Generation Reading'!K766+'Generation Reading'!K768+'Generation Reading'!K770</f>
        <v>2184465.4547126046</v>
      </c>
      <c r="H246" s="932">
        <f t="shared" ref="H246:H248" si="30">F246-G246</f>
        <v>747586280.06231451</v>
      </c>
      <c r="I246" s="384">
        <v>861745636.43545389</v>
      </c>
      <c r="J246" s="909"/>
      <c r="K246" s="757"/>
      <c r="L246" s="520" t="s">
        <v>1329</v>
      </c>
    </row>
    <row r="247" spans="1:12" ht="16.5" customHeight="1" x14ac:dyDescent="0.2">
      <c r="A247" s="1367">
        <f>A246+1</f>
        <v>186</v>
      </c>
      <c r="B247" s="1368"/>
      <c r="C247" s="670" t="s">
        <v>1498</v>
      </c>
      <c r="D247" s="774">
        <v>400</v>
      </c>
      <c r="E247" s="774" t="s">
        <v>11</v>
      </c>
      <c r="F247" s="651">
        <f>'Generation Reading'!K420</f>
        <v>64074564.366039254</v>
      </c>
      <c r="G247" s="651">
        <f>'Generation Reading'!K421</f>
        <v>1784586.7055214643</v>
      </c>
      <c r="H247" s="932">
        <f t="shared" si="30"/>
        <v>62289977.660517789</v>
      </c>
      <c r="I247" s="384">
        <v>173700334.55196843</v>
      </c>
      <c r="J247" s="1062"/>
      <c r="K247" s="757"/>
      <c r="L247" s="520"/>
    </row>
    <row r="248" spans="1:12" ht="16.5" customHeight="1" x14ac:dyDescent="0.2">
      <c r="A248" s="1367">
        <f>A247+1</f>
        <v>187</v>
      </c>
      <c r="B248" s="1368"/>
      <c r="C248" s="670" t="s">
        <v>1522</v>
      </c>
      <c r="D248" s="774">
        <v>400</v>
      </c>
      <c r="E248" s="774" t="s">
        <v>11</v>
      </c>
      <c r="F248" s="651">
        <f>'Generation Reading'!K423</f>
        <v>61862609.456865251</v>
      </c>
      <c r="G248" s="651">
        <f>'Generation Reading'!K424</f>
        <v>1821639.018250128</v>
      </c>
      <c r="H248" s="932">
        <f t="shared" si="30"/>
        <v>60040970.438615121</v>
      </c>
      <c r="I248" s="384">
        <v>173385347.64286566</v>
      </c>
      <c r="J248" s="1062"/>
      <c r="K248" s="757"/>
      <c r="L248" s="520"/>
    </row>
    <row r="249" spans="1:12" ht="16.5" customHeight="1" x14ac:dyDescent="0.2">
      <c r="A249" s="1384" t="s">
        <v>1410</v>
      </c>
      <c r="B249" s="1385"/>
      <c r="C249" s="1385"/>
      <c r="D249" s="774"/>
      <c r="E249" s="774"/>
      <c r="F249" s="654">
        <f>SUM(F243:F248)</f>
        <v>2325834013.9952517</v>
      </c>
      <c r="G249" s="654">
        <f>SUM(G243:G248)</f>
        <v>8175947.0978409816</v>
      </c>
      <c r="H249" s="654">
        <f>SUM(H243:H248)</f>
        <v>2317658066.8974109</v>
      </c>
      <c r="I249" s="1114">
        <v>2699387315.5329862</v>
      </c>
      <c r="J249" s="909"/>
      <c r="K249" s="757"/>
      <c r="L249" s="520"/>
    </row>
    <row r="250" spans="1:12" ht="16.5" customHeight="1" x14ac:dyDescent="0.2">
      <c r="A250" s="1374">
        <f>A248+1</f>
        <v>188</v>
      </c>
      <c r="B250" s="1375"/>
      <c r="C250" s="670" t="s">
        <v>1483</v>
      </c>
      <c r="D250" s="774">
        <v>400</v>
      </c>
      <c r="E250" s="774" t="s">
        <v>11</v>
      </c>
      <c r="F250" s="651">
        <f>'Generation Reading'!K414</f>
        <v>353777945.45159721</v>
      </c>
      <c r="G250" s="651">
        <f>'Generation Reading'!K415</f>
        <v>0</v>
      </c>
      <c r="H250" s="932">
        <f>F250-G250</f>
        <v>353777945.45159721</v>
      </c>
      <c r="I250" s="1114">
        <v>303372490.90656334</v>
      </c>
      <c r="J250" s="909"/>
      <c r="K250" s="757"/>
      <c r="L250" s="520"/>
    </row>
    <row r="251" spans="1:12" ht="16.5" customHeight="1" x14ac:dyDescent="0.2">
      <c r="A251" s="1374">
        <f>A250+1</f>
        <v>189</v>
      </c>
      <c r="B251" s="1375"/>
      <c r="C251" s="670" t="s">
        <v>1484</v>
      </c>
      <c r="D251" s="774">
        <v>400</v>
      </c>
      <c r="E251" s="774" t="s">
        <v>11</v>
      </c>
      <c r="F251" s="651">
        <f>'Generation Reading'!K417</f>
        <v>349446109.0879969</v>
      </c>
      <c r="G251" s="651">
        <f>'Generation Reading'!K418</f>
        <v>0</v>
      </c>
      <c r="H251" s="932">
        <f>F251-G251</f>
        <v>349446109.0879969</v>
      </c>
      <c r="I251" s="1114">
        <v>388815054.54221469</v>
      </c>
      <c r="J251" s="909"/>
      <c r="K251" s="757"/>
      <c r="L251" s="520"/>
    </row>
    <row r="252" spans="1:12" ht="16.5" customHeight="1" x14ac:dyDescent="0.2">
      <c r="A252" s="1374"/>
      <c r="B252" s="1375"/>
      <c r="C252" s="1016" t="s">
        <v>1485</v>
      </c>
      <c r="D252" s="774"/>
      <c r="E252" s="774"/>
      <c r="F252" s="654">
        <f>SUM(F250:F251)</f>
        <v>703224054.53959417</v>
      </c>
      <c r="G252" s="654">
        <f>SUM(G250:G251)</f>
        <v>0</v>
      </c>
      <c r="H252" s="654">
        <f>SUM(H250:H251)</f>
        <v>703224054.53959417</v>
      </c>
      <c r="I252" s="1114">
        <v>692187545.44877803</v>
      </c>
      <c r="J252" s="940"/>
      <c r="K252" s="757"/>
      <c r="L252" s="520"/>
    </row>
    <row r="253" spans="1:12" ht="16.5" customHeight="1" x14ac:dyDescent="0.2">
      <c r="A253" s="1374">
        <f>A251+1</f>
        <v>190</v>
      </c>
      <c r="B253" s="1375"/>
      <c r="C253" s="670" t="s">
        <v>1654</v>
      </c>
      <c r="D253" s="774">
        <v>400</v>
      </c>
      <c r="E253" s="774" t="s">
        <v>11</v>
      </c>
      <c r="F253" s="651">
        <f>'Generation Reading'!K1109+'Generation Reading'!K1111</f>
        <v>171432962.72662985</v>
      </c>
      <c r="G253" s="651">
        <f>'Generation Reading'!K1108+'Generation Reading'!K1110</f>
        <v>5224536.8436167687</v>
      </c>
      <c r="H253" s="654">
        <f>F253-G253</f>
        <v>166208425.88301307</v>
      </c>
      <c r="I253" s="1114">
        <v>220847398.02099004</v>
      </c>
      <c r="J253" s="940"/>
      <c r="K253" s="757"/>
      <c r="L253" s="520"/>
    </row>
    <row r="254" spans="1:12" ht="16.5" customHeight="1" x14ac:dyDescent="0.2">
      <c r="A254" s="1374">
        <f>A253+1</f>
        <v>191</v>
      </c>
      <c r="B254" s="1375"/>
      <c r="C254" s="652" t="s">
        <v>790</v>
      </c>
      <c r="D254" s="774">
        <v>132</v>
      </c>
      <c r="E254" s="774" t="s">
        <v>12</v>
      </c>
      <c r="F254" s="651">
        <f>'Generation Reading'!K878</f>
        <v>0</v>
      </c>
      <c r="G254" s="651">
        <f>'Generation Reading'!K879</f>
        <v>0</v>
      </c>
      <c r="H254" s="932">
        <f t="shared" si="25"/>
        <v>0</v>
      </c>
      <c r="I254" s="384">
        <v>0</v>
      </c>
      <c r="J254" s="909"/>
      <c r="L254" s="11"/>
    </row>
    <row r="255" spans="1:12" ht="16.5" customHeight="1" x14ac:dyDescent="0.2">
      <c r="A255" s="1367">
        <f>A254+1</f>
        <v>192</v>
      </c>
      <c r="B255" s="1368"/>
      <c r="C255" s="652" t="s">
        <v>791</v>
      </c>
      <c r="D255" s="659">
        <v>33</v>
      </c>
      <c r="E255" s="774" t="s">
        <v>12</v>
      </c>
      <c r="F255" s="651">
        <f>'Generation Reading'!K908</f>
        <v>0</v>
      </c>
      <c r="G255" s="651">
        <f>'Generation Reading'!K912</f>
        <v>0</v>
      </c>
      <c r="H255" s="932">
        <f t="shared" si="25"/>
        <v>0</v>
      </c>
      <c r="I255" s="384">
        <v>0</v>
      </c>
      <c r="J255" s="909"/>
      <c r="L255" s="11"/>
    </row>
    <row r="256" spans="1:12" ht="16.5" customHeight="1" x14ac:dyDescent="0.2">
      <c r="A256" s="1367">
        <f t="shared" ref="A256:A258" si="31">A255+1</f>
        <v>193</v>
      </c>
      <c r="B256" s="1368"/>
      <c r="C256" s="652" t="s">
        <v>1054</v>
      </c>
      <c r="D256" s="659">
        <v>132</v>
      </c>
      <c r="E256" s="774" t="s">
        <v>12</v>
      </c>
      <c r="F256" s="651">
        <f>'Generation Reading'!K991</f>
        <v>0</v>
      </c>
      <c r="G256" s="651">
        <f>'Generation Reading'!K992</f>
        <v>0</v>
      </c>
      <c r="H256" s="932">
        <f t="shared" si="25"/>
        <v>0</v>
      </c>
      <c r="I256" s="384">
        <v>0</v>
      </c>
      <c r="J256" s="909"/>
      <c r="L256" s="11"/>
    </row>
    <row r="257" spans="1:12" ht="16.5" customHeight="1" x14ac:dyDescent="0.2">
      <c r="A257" s="1367">
        <f t="shared" si="31"/>
        <v>194</v>
      </c>
      <c r="B257" s="1368"/>
      <c r="C257" s="652" t="s">
        <v>1040</v>
      </c>
      <c r="D257" s="659">
        <v>33</v>
      </c>
      <c r="E257" s="774" t="s">
        <v>12</v>
      </c>
      <c r="F257" s="651">
        <f>'Generation Reading'!K261</f>
        <v>0</v>
      </c>
      <c r="G257" s="651">
        <f>'Generation Reading'!K262</f>
        <v>0</v>
      </c>
      <c r="H257" s="932">
        <f t="shared" si="25"/>
        <v>0</v>
      </c>
      <c r="I257" s="384">
        <v>0</v>
      </c>
      <c r="J257" s="909"/>
      <c r="L257" s="11"/>
    </row>
    <row r="258" spans="1:12" ht="16.5" customHeight="1" x14ac:dyDescent="0.2">
      <c r="A258" s="1367">
        <f t="shared" si="31"/>
        <v>195</v>
      </c>
      <c r="B258" s="1368"/>
      <c r="C258" s="652" t="s">
        <v>792</v>
      </c>
      <c r="D258" s="774">
        <v>132</v>
      </c>
      <c r="E258" s="774" t="s">
        <v>12</v>
      </c>
      <c r="F258" s="651">
        <f>'Generation Reading'!K264</f>
        <v>0</v>
      </c>
      <c r="G258" s="651">
        <f>'Generation Reading'!K265</f>
        <v>0</v>
      </c>
      <c r="H258" s="932">
        <f t="shared" si="25"/>
        <v>0</v>
      </c>
      <c r="I258" s="384">
        <v>0</v>
      </c>
      <c r="J258" s="909"/>
      <c r="L258" s="11"/>
    </row>
    <row r="259" spans="1:12" ht="16.5" customHeight="1" x14ac:dyDescent="0.2">
      <c r="A259" s="1384" t="s">
        <v>1076</v>
      </c>
      <c r="B259" s="1385"/>
      <c r="C259" s="1385"/>
      <c r="D259" s="774"/>
      <c r="E259" s="774"/>
      <c r="F259" s="654">
        <f>SUM(F254:F258)</f>
        <v>0</v>
      </c>
      <c r="G259" s="654">
        <f>SUM(G254:G258)</f>
        <v>0</v>
      </c>
      <c r="H259" s="935">
        <f t="shared" si="25"/>
        <v>0</v>
      </c>
      <c r="I259" s="1114">
        <v>0</v>
      </c>
      <c r="J259" s="909"/>
      <c r="K259" s="228"/>
      <c r="L259" s="11"/>
    </row>
    <row r="260" spans="1:12" ht="16.5" customHeight="1" x14ac:dyDescent="0.2">
      <c r="A260" s="1384" t="s">
        <v>793</v>
      </c>
      <c r="B260" s="1385"/>
      <c r="C260" s="1385"/>
      <c r="D260" s="774"/>
      <c r="E260" s="774"/>
      <c r="F260" s="654">
        <f>F238+F259</f>
        <v>322455458.22621614</v>
      </c>
      <c r="G260" s="654">
        <f>G238+G259</f>
        <v>563869.96315840271</v>
      </c>
      <c r="H260" s="935">
        <f t="shared" si="25"/>
        <v>321891588.26305771</v>
      </c>
      <c r="I260" s="1114">
        <v>362524404.25707573</v>
      </c>
      <c r="J260" s="909"/>
      <c r="L260" s="11"/>
    </row>
    <row r="261" spans="1:12" ht="16.5" customHeight="1" x14ac:dyDescent="0.2">
      <c r="A261" s="1384" t="s">
        <v>794</v>
      </c>
      <c r="B261" s="1385"/>
      <c r="C261" s="1385"/>
      <c r="D261" s="774"/>
      <c r="E261" s="774"/>
      <c r="F261" s="654">
        <f>F260+F220</f>
        <v>423594254.29485089</v>
      </c>
      <c r="G261" s="654">
        <f>G260+G220</f>
        <v>1301183.6037304008</v>
      </c>
      <c r="H261" s="935">
        <f t="shared" si="25"/>
        <v>422293070.69112051</v>
      </c>
      <c r="I261" s="1114">
        <v>476609072.47443938</v>
      </c>
      <c r="J261" s="909"/>
      <c r="L261" s="11"/>
    </row>
    <row r="262" spans="1:12" ht="16.5" customHeight="1" x14ac:dyDescent="0.2">
      <c r="A262" s="1388" t="s">
        <v>795</v>
      </c>
      <c r="B262" s="1389"/>
      <c r="C262" s="1389"/>
      <c r="D262" s="774"/>
      <c r="E262" s="774"/>
      <c r="F262" s="654">
        <f>F220+F130+F102+F92+F38</f>
        <v>4055547339.7520061</v>
      </c>
      <c r="G262" s="654">
        <f>G220+G130+G102+G92+G38</f>
        <v>35160059.129599437</v>
      </c>
      <c r="H262" s="935">
        <f t="shared" si="25"/>
        <v>4020387280.6224065</v>
      </c>
      <c r="I262" s="1114">
        <v>3901996607.6318521</v>
      </c>
      <c r="J262" s="909"/>
      <c r="L262" s="11"/>
    </row>
    <row r="263" spans="1:12" ht="16.5" customHeight="1" x14ac:dyDescent="0.2">
      <c r="A263" s="1388" t="s">
        <v>796</v>
      </c>
      <c r="B263" s="1389"/>
      <c r="C263" s="1389"/>
      <c r="D263" s="774"/>
      <c r="E263" s="774"/>
      <c r="F263" s="654">
        <f>F260+F179+F111+F109+F107+F73+F65+F58</f>
        <v>1077668497.246613</v>
      </c>
      <c r="G263" s="654">
        <f>G260+G179+G111+G109+G107+G73+G65+G58</f>
        <v>5822768.8595897909</v>
      </c>
      <c r="H263" s="935">
        <f t="shared" si="25"/>
        <v>1071845728.3870232</v>
      </c>
      <c r="I263" s="1114">
        <v>1258349176.0437279</v>
      </c>
      <c r="J263" s="909"/>
      <c r="L263" s="11"/>
    </row>
    <row r="264" spans="1:12" ht="16.5" customHeight="1" x14ac:dyDescent="0.2">
      <c r="A264" s="1388" t="s">
        <v>797</v>
      </c>
      <c r="B264" s="1389"/>
      <c r="C264" s="1389"/>
      <c r="D264" s="774"/>
      <c r="E264" s="774"/>
      <c r="F264" s="654">
        <f>F194+F77+F80+F44+F40+F114+F249+F252+F253+F277</f>
        <v>3599099378.4889293</v>
      </c>
      <c r="G264" s="654">
        <f>G194+G77+G80+G44+G40+G274+G114+G249+G252+G253</f>
        <v>21561021.576791316</v>
      </c>
      <c r="H264" s="935">
        <f>F264-G264</f>
        <v>3577538356.912138</v>
      </c>
      <c r="I264" s="1114">
        <v>3896823259.3292336</v>
      </c>
      <c r="J264" s="909"/>
      <c r="L264" s="11"/>
    </row>
    <row r="265" spans="1:12" ht="16.5" customHeight="1" x14ac:dyDescent="0.2">
      <c r="A265" s="1367">
        <f>A258+1</f>
        <v>196</v>
      </c>
      <c r="B265" s="1368"/>
      <c r="C265" s="764" t="s">
        <v>798</v>
      </c>
      <c r="D265" s="774"/>
      <c r="E265" s="774"/>
      <c r="F265" s="651">
        <f>'Gen-Ind'!I7</f>
        <v>165592727.27272564</v>
      </c>
      <c r="G265" s="651">
        <f>'Gen-Ind'!I8</f>
        <v>0</v>
      </c>
      <c r="H265" s="932">
        <f t="shared" si="25"/>
        <v>165592727.27272564</v>
      </c>
      <c r="I265" s="384">
        <v>181470545.45454672</v>
      </c>
      <c r="J265" s="909"/>
      <c r="L265" s="11"/>
    </row>
    <row r="266" spans="1:12" ht="16.5" customHeight="1" x14ac:dyDescent="0.2">
      <c r="A266" s="1367">
        <f t="shared" ref="A266:A271" si="32">A265+1</f>
        <v>197</v>
      </c>
      <c r="B266" s="1368"/>
      <c r="C266" s="764" t="s">
        <v>799</v>
      </c>
      <c r="D266" s="774"/>
      <c r="E266" s="774"/>
      <c r="F266" s="651">
        <f>'Gen-Ind'!I15+'Gen-Ind'!I16</f>
        <v>25380480.000000097</v>
      </c>
      <c r="G266" s="655"/>
      <c r="H266" s="932">
        <f t="shared" si="25"/>
        <v>25380480.000000097</v>
      </c>
      <c r="I266" s="384">
        <v>25853760.000000477</v>
      </c>
      <c r="J266" s="909"/>
      <c r="L266" s="11"/>
    </row>
    <row r="267" spans="1:12" ht="16.5" customHeight="1" x14ac:dyDescent="0.2">
      <c r="A267" s="1367">
        <f t="shared" si="32"/>
        <v>198</v>
      </c>
      <c r="B267" s="1368"/>
      <c r="C267" s="764" t="s">
        <v>800</v>
      </c>
      <c r="D267" s="774"/>
      <c r="E267" s="774"/>
      <c r="F267" s="651"/>
      <c r="G267" s="655"/>
      <c r="H267" s="932">
        <f t="shared" si="25"/>
        <v>0</v>
      </c>
      <c r="I267" s="384">
        <v>0</v>
      </c>
      <c r="J267" s="909"/>
      <c r="L267" s="11"/>
    </row>
    <row r="268" spans="1:12" ht="16.5" customHeight="1" x14ac:dyDescent="0.2">
      <c r="A268" s="1367">
        <f t="shared" si="32"/>
        <v>199</v>
      </c>
      <c r="B268" s="1368"/>
      <c r="C268" s="764" t="s">
        <v>801</v>
      </c>
      <c r="D268" s="774"/>
      <c r="E268" s="774"/>
      <c r="F268" s="651">
        <f>'Gen-Ind'!I9</f>
        <v>165600727.27272695</v>
      </c>
      <c r="G268" s="651">
        <f>'Gen-Ind'!I10</f>
        <v>0</v>
      </c>
      <c r="H268" s="932">
        <f t="shared" si="25"/>
        <v>165600727.27272695</v>
      </c>
      <c r="I268" s="384">
        <v>181800000.00000042</v>
      </c>
      <c r="J268" s="909"/>
      <c r="L268" s="11"/>
    </row>
    <row r="269" spans="1:12" ht="16.5" customHeight="1" x14ac:dyDescent="0.2">
      <c r="A269" s="1367">
        <f t="shared" si="32"/>
        <v>200</v>
      </c>
      <c r="B269" s="1368"/>
      <c r="C269" s="764" t="s">
        <v>802</v>
      </c>
      <c r="D269" s="774"/>
      <c r="E269" s="774"/>
      <c r="F269" s="655"/>
      <c r="G269" s="655"/>
      <c r="H269" s="932">
        <f t="shared" si="25"/>
        <v>0</v>
      </c>
      <c r="I269" s="384">
        <v>0</v>
      </c>
      <c r="J269" s="909"/>
      <c r="L269" s="11"/>
    </row>
    <row r="270" spans="1:12" ht="16.5" customHeight="1" x14ac:dyDescent="0.2">
      <c r="A270" s="1374">
        <f t="shared" si="32"/>
        <v>201</v>
      </c>
      <c r="B270" s="1375"/>
      <c r="C270" s="764" t="s">
        <v>1306</v>
      </c>
      <c r="D270" s="774"/>
      <c r="E270" s="774"/>
      <c r="F270" s="651">
        <f>'Gen-Ind'!I11</f>
        <v>140975272.72727266</v>
      </c>
      <c r="G270" s="651">
        <f>'Gen-Ind'!I12</f>
        <v>0</v>
      </c>
      <c r="H270" s="932">
        <f t="shared" si="25"/>
        <v>140975272.72727266</v>
      </c>
      <c r="I270" s="384">
        <v>154658909.09090954</v>
      </c>
      <c r="J270" s="909"/>
      <c r="L270" s="11"/>
    </row>
    <row r="271" spans="1:12" ht="16.5" customHeight="1" x14ac:dyDescent="0.2">
      <c r="A271" s="1374">
        <f t="shared" si="32"/>
        <v>202</v>
      </c>
      <c r="B271" s="1375"/>
      <c r="C271" s="764" t="s">
        <v>1326</v>
      </c>
      <c r="D271" s="774"/>
      <c r="E271" s="774"/>
      <c r="F271" s="651">
        <f>'Generation Reading'!H1124</f>
        <v>140958545.45454627</v>
      </c>
      <c r="G271" s="651">
        <f>'Generation Reading'!I1124</f>
        <v>0</v>
      </c>
      <c r="H271" s="932">
        <f t="shared" si="25"/>
        <v>140958545.45454627</v>
      </c>
      <c r="I271" s="1120">
        <v>154717818.18181956</v>
      </c>
      <c r="J271" s="909"/>
      <c r="L271" s="11"/>
    </row>
    <row r="272" spans="1:12" ht="16.5" customHeight="1" x14ac:dyDescent="0.2">
      <c r="A272" s="1388" t="s">
        <v>803</v>
      </c>
      <c r="B272" s="1389"/>
      <c r="C272" s="1389"/>
      <c r="D272" s="774"/>
      <c r="E272" s="774"/>
      <c r="F272" s="654">
        <f>SUM(F265:F271)</f>
        <v>638507752.72727156</v>
      </c>
      <c r="G272" s="654">
        <f t="shared" ref="G272" si="33">SUM(G265:G271)</f>
        <v>0</v>
      </c>
      <c r="H272" s="935">
        <f>SUM(H265:H271)</f>
        <v>638507752.72727156</v>
      </c>
      <c r="I272" s="1114">
        <v>698501032.72727668</v>
      </c>
      <c r="J272" s="909"/>
      <c r="K272" s="11"/>
      <c r="L272" s="11"/>
    </row>
    <row r="273" spans="1:16" ht="16.5" customHeight="1" x14ac:dyDescent="0.2">
      <c r="A273" s="1388" t="s">
        <v>804</v>
      </c>
      <c r="B273" s="1389"/>
      <c r="C273" s="1389"/>
      <c r="D273" s="1389"/>
      <c r="E273" s="1389"/>
      <c r="F273" s="1389"/>
      <c r="G273" s="1389"/>
      <c r="H273" s="1389"/>
      <c r="I273" s="1389"/>
      <c r="J273" s="1428"/>
      <c r="L273" s="11"/>
    </row>
    <row r="274" spans="1:16" ht="16.5" customHeight="1" x14ac:dyDescent="0.2">
      <c r="A274" s="1367">
        <f>A271+1</f>
        <v>203</v>
      </c>
      <c r="B274" s="1368"/>
      <c r="C274" s="656" t="s">
        <v>805</v>
      </c>
      <c r="D274" s="774">
        <v>11</v>
      </c>
      <c r="E274" s="774" t="s">
        <v>590</v>
      </c>
      <c r="F274" s="765">
        <f>'Generation Reading'!K842</f>
        <v>7041.750000000121</v>
      </c>
      <c r="G274" s="651">
        <f>'Generation Reading'!K843</f>
        <v>0</v>
      </c>
      <c r="H274" s="932">
        <f t="shared" si="25"/>
        <v>7041.750000000121</v>
      </c>
      <c r="I274" s="384">
        <v>11951.500000000084</v>
      </c>
      <c r="J274" s="909"/>
      <c r="K274" s="228"/>
      <c r="L274" s="11"/>
    </row>
    <row r="275" spans="1:16" ht="16.5" customHeight="1" x14ac:dyDescent="0.2">
      <c r="A275" s="1367">
        <f>A274+1</f>
        <v>204</v>
      </c>
      <c r="B275" s="1368"/>
      <c r="C275" s="656" t="s">
        <v>1509</v>
      </c>
      <c r="D275" s="774">
        <v>33</v>
      </c>
      <c r="E275" s="774" t="s">
        <v>590</v>
      </c>
      <c r="F275" s="765">
        <f>'Generation Reading'!K1025</f>
        <v>245849.99999999991</v>
      </c>
      <c r="G275" s="651">
        <v>0</v>
      </c>
      <c r="H275" s="932">
        <f>'Generation Reading'!K1025</f>
        <v>245849.99999999991</v>
      </c>
      <c r="I275" s="384">
        <v>96599.999999999753</v>
      </c>
      <c r="J275" s="909"/>
      <c r="K275" s="228"/>
      <c r="L275" s="11"/>
    </row>
    <row r="276" spans="1:16" ht="16.5" customHeight="1" x14ac:dyDescent="0.2">
      <c r="A276" s="1367">
        <f>A275+1</f>
        <v>205</v>
      </c>
      <c r="B276" s="1368"/>
      <c r="C276" s="656" t="s">
        <v>1666</v>
      </c>
      <c r="D276" s="774">
        <v>33</v>
      </c>
      <c r="E276" s="774" t="s">
        <v>590</v>
      </c>
      <c r="F276" s="765">
        <f>'Generation Reading'!K1026</f>
        <v>47724</v>
      </c>
      <c r="G276" s="651">
        <v>0</v>
      </c>
      <c r="H276" s="932">
        <f>F276</f>
        <v>47724</v>
      </c>
      <c r="I276" s="384"/>
      <c r="J276" s="909"/>
      <c r="K276" s="228"/>
      <c r="L276" s="11"/>
    </row>
    <row r="277" spans="1:16" ht="16.5" customHeight="1" x14ac:dyDescent="0.2">
      <c r="A277" s="1388" t="s">
        <v>806</v>
      </c>
      <c r="B277" s="1389"/>
      <c r="C277" s="1389"/>
      <c r="D277" s="774"/>
      <c r="E277" s="774"/>
      <c r="F277" s="654">
        <f>SUM(F274:F276)</f>
        <v>300615.75</v>
      </c>
      <c r="G277" s="654">
        <f t="shared" ref="G277:I277" si="34">SUM(G274:G276)</f>
        <v>0</v>
      </c>
      <c r="H277" s="654">
        <f t="shared" si="34"/>
        <v>300615.75</v>
      </c>
      <c r="I277" s="654">
        <f t="shared" si="34"/>
        <v>108551.49999999984</v>
      </c>
      <c r="J277" s="909"/>
      <c r="K277" s="11"/>
      <c r="P277" s="767"/>
    </row>
    <row r="278" spans="1:16" ht="16.5" customHeight="1" x14ac:dyDescent="0.2">
      <c r="A278" s="1388" t="s">
        <v>1082</v>
      </c>
      <c r="B278" s="1389"/>
      <c r="C278" s="1389"/>
      <c r="D278" s="774"/>
      <c r="E278" s="774"/>
      <c r="F278" s="654">
        <f>F262+F263+F264+F272</f>
        <v>9370822968.2148209</v>
      </c>
      <c r="G278" s="654">
        <f>G262+G263+G264+G272+G277</f>
        <v>62543849.565980546</v>
      </c>
      <c r="H278" s="935">
        <f>F278-G278</f>
        <v>9308279118.64884</v>
      </c>
      <c r="I278" s="1114">
        <v>9755766675.7320881</v>
      </c>
      <c r="J278" s="909"/>
      <c r="K278" s="11"/>
    </row>
    <row r="279" spans="1:16" ht="16.5" customHeight="1" x14ac:dyDescent="0.2">
      <c r="A279" s="1420" t="s">
        <v>807</v>
      </c>
      <c r="B279" s="1421"/>
      <c r="C279" s="1421"/>
      <c r="D279" s="1422">
        <f>F278-G278</f>
        <v>9308279118.64884</v>
      </c>
      <c r="E279" s="1422"/>
      <c r="F279" s="647" t="s">
        <v>746</v>
      </c>
      <c r="G279" s="647"/>
      <c r="H279" s="647"/>
      <c r="I279" s="647"/>
      <c r="J279" s="909"/>
      <c r="K279" s="571"/>
      <c r="L279" s="571"/>
    </row>
    <row r="280" spans="1:16" ht="15.75" customHeight="1" x14ac:dyDescent="0.2">
      <c r="A280" s="1423" t="s">
        <v>1084</v>
      </c>
      <c r="B280" s="1423"/>
      <c r="C280" s="1423"/>
      <c r="D280" s="1423"/>
      <c r="E280" s="1423"/>
      <c r="F280" s="1414">
        <f>D279</f>
        <v>9308279118.64884</v>
      </c>
      <c r="G280" s="1415"/>
      <c r="H280" s="1418" t="s">
        <v>746</v>
      </c>
      <c r="I280" s="1426"/>
      <c r="J280" s="1424"/>
      <c r="K280" s="1412">
        <f>F280-'Gen-Ind'!I23</f>
        <v>0</v>
      </c>
      <c r="L280" s="11"/>
    </row>
    <row r="281" spans="1:16" x14ac:dyDescent="0.2">
      <c r="A281" s="1423"/>
      <c r="B281" s="1423"/>
      <c r="C281" s="1423"/>
      <c r="D281" s="1423"/>
      <c r="E281" s="1423"/>
      <c r="F281" s="1416"/>
      <c r="G281" s="1417"/>
      <c r="H281" s="1419"/>
      <c r="I281" s="1427"/>
      <c r="J281" s="1425"/>
      <c r="K281" s="1413"/>
      <c r="L281" s="11">
        <f>'Generation Reading'!H1133</f>
        <v>9308279118.64884</v>
      </c>
      <c r="M281" s="11">
        <f>F280-L281</f>
        <v>0</v>
      </c>
    </row>
    <row r="282" spans="1:16" x14ac:dyDescent="0.2">
      <c r="A282" s="1371"/>
      <c r="B282" s="1371"/>
      <c r="C282" s="1371"/>
      <c r="D282" s="1371"/>
      <c r="E282" s="1371"/>
      <c r="F282" s="1371"/>
      <c r="G282" s="1371"/>
      <c r="H282" s="1371"/>
      <c r="I282" s="1371"/>
      <c r="J282" s="1371"/>
    </row>
    <row r="283" spans="1:16" x14ac:dyDescent="0.2">
      <c r="A283" s="1372"/>
      <c r="B283" s="1372"/>
      <c r="C283" s="1372"/>
      <c r="D283" s="1372"/>
      <c r="E283" s="1372"/>
      <c r="F283" s="1372"/>
      <c r="G283" s="1372"/>
      <c r="H283" s="1372"/>
      <c r="I283" s="1372"/>
      <c r="J283" s="1372"/>
    </row>
    <row r="284" spans="1:16" ht="15.75" x14ac:dyDescent="0.25">
      <c r="C284" s="1382" t="s">
        <v>1432</v>
      </c>
      <c r="D284" s="1382"/>
      <c r="E284" s="1382"/>
      <c r="F284" s="1382"/>
      <c r="G284" s="1373">
        <f>G278</f>
        <v>62543849.565980546</v>
      </c>
      <c r="H284" s="1383"/>
    </row>
    <row r="285" spans="1:16" ht="15.75" x14ac:dyDescent="0.25">
      <c r="C285" s="1382" t="s">
        <v>1433</v>
      </c>
      <c r="D285" s="1382"/>
      <c r="E285" s="1382"/>
      <c r="F285" s="1382"/>
      <c r="G285" s="1373">
        <f>F278</f>
        <v>9370822968.2148209</v>
      </c>
      <c r="H285" s="1383"/>
    </row>
    <row r="286" spans="1:16" ht="15.75" x14ac:dyDescent="0.25">
      <c r="C286" s="1382" t="s">
        <v>1435</v>
      </c>
      <c r="D286" s="1382"/>
      <c r="E286" s="1382"/>
      <c r="F286" s="1382"/>
      <c r="G286" s="1373">
        <f>G285-G284</f>
        <v>9308279118.64884</v>
      </c>
      <c r="H286" s="1383"/>
    </row>
    <row r="287" spans="1:16" ht="15.75" x14ac:dyDescent="0.25">
      <c r="C287" s="1382" t="s">
        <v>1436</v>
      </c>
      <c r="D287" s="1382"/>
      <c r="E287" s="1382"/>
      <c r="F287" s="1382"/>
      <c r="G287" s="1381">
        <f>G284/G285</f>
        <v>6.6743176963352021E-3</v>
      </c>
      <c r="H287" s="1381"/>
    </row>
    <row r="288" spans="1:16" ht="15.75" x14ac:dyDescent="0.25">
      <c r="C288" s="1382" t="s">
        <v>1437</v>
      </c>
      <c r="D288" s="1382"/>
      <c r="E288" s="1382"/>
      <c r="F288" s="1382"/>
      <c r="G288" s="1381">
        <f>G284/G286</f>
        <v>6.7191635283772207E-3</v>
      </c>
      <c r="H288" s="1381"/>
    </row>
    <row r="289" spans="3:8" ht="15.75" x14ac:dyDescent="0.25">
      <c r="C289" s="1382" t="s">
        <v>1434</v>
      </c>
      <c r="D289" s="1382"/>
      <c r="E289" s="1382"/>
      <c r="F289" s="1382"/>
      <c r="G289" s="1373">
        <f>G284*0.2886</f>
        <v>18050154.984741986</v>
      </c>
      <c r="H289" s="1373"/>
    </row>
    <row r="290" spans="3:8" ht="15.75" x14ac:dyDescent="0.25">
      <c r="C290" s="1382" t="s">
        <v>1438</v>
      </c>
      <c r="D290" s="1382"/>
      <c r="E290" s="1382"/>
      <c r="F290" s="1382"/>
      <c r="G290" s="1373">
        <f>H81</f>
        <v>1221529351.7191978</v>
      </c>
      <c r="H290" s="1373"/>
    </row>
    <row r="291" spans="3:8" ht="15.75" x14ac:dyDescent="0.25">
      <c r="C291" s="1382" t="s">
        <v>1439</v>
      </c>
      <c r="D291" s="1382"/>
      <c r="E291" s="1382"/>
      <c r="F291" s="1382"/>
      <c r="G291" s="1381">
        <f>G290/G286</f>
        <v>0.13123041715325259</v>
      </c>
      <c r="H291" s="1381"/>
    </row>
  </sheetData>
  <mergeCells count="290">
    <mergeCell ref="A276:B276"/>
    <mergeCell ref="A30:B30"/>
    <mergeCell ref="A31:B31"/>
    <mergeCell ref="A32:B32"/>
    <mergeCell ref="A34:B34"/>
    <mergeCell ref="A37:B37"/>
    <mergeCell ref="A44:C44"/>
    <mergeCell ref="A47:B47"/>
    <mergeCell ref="A60:B60"/>
    <mergeCell ref="A64:B64"/>
    <mergeCell ref="A53:B53"/>
    <mergeCell ref="A54:B54"/>
    <mergeCell ref="A55:A56"/>
    <mergeCell ref="A57:B57"/>
    <mergeCell ref="A48:B48"/>
    <mergeCell ref="A49:B49"/>
    <mergeCell ref="A50:B50"/>
    <mergeCell ref="A51:B51"/>
    <mergeCell ref="A52:B52"/>
    <mergeCell ref="A59:B59"/>
    <mergeCell ref="A61:B61"/>
    <mergeCell ref="A62:B62"/>
    <mergeCell ref="A63:B63"/>
    <mergeCell ref="A45:B45"/>
    <mergeCell ref="J84:J86"/>
    <mergeCell ref="A83:J83"/>
    <mergeCell ref="E4:E5"/>
    <mergeCell ref="D4:D5"/>
    <mergeCell ref="A41:A43"/>
    <mergeCell ref="A25:A26"/>
    <mergeCell ref="A27:A28"/>
    <mergeCell ref="A7:B7"/>
    <mergeCell ref="A8:B8"/>
    <mergeCell ref="A9:B9"/>
    <mergeCell ref="A19:B19"/>
    <mergeCell ref="A20:B20"/>
    <mergeCell ref="A39:B39"/>
    <mergeCell ref="A21:B21"/>
    <mergeCell ref="A22:B22"/>
    <mergeCell ref="A23:A24"/>
    <mergeCell ref="A29:B29"/>
    <mergeCell ref="A38:C38"/>
    <mergeCell ref="A36:B36"/>
    <mergeCell ref="A10:A18"/>
    <mergeCell ref="B18:C18"/>
    <mergeCell ref="C17:E17"/>
    <mergeCell ref="F17:G17"/>
    <mergeCell ref="A46:B46"/>
    <mergeCell ref="A93:J93"/>
    <mergeCell ref="A94:B94"/>
    <mergeCell ref="A95:B95"/>
    <mergeCell ref="A134:B134"/>
    <mergeCell ref="A117:B117"/>
    <mergeCell ref="A1:J1"/>
    <mergeCell ref="G2:J2"/>
    <mergeCell ref="C3:C5"/>
    <mergeCell ref="J3:J5"/>
    <mergeCell ref="A3:B5"/>
    <mergeCell ref="D3:H3"/>
    <mergeCell ref="D38:E38"/>
    <mergeCell ref="A81:C81"/>
    <mergeCell ref="G84:G86"/>
    <mergeCell ref="A77:C77"/>
    <mergeCell ref="A66:C66"/>
    <mergeCell ref="A58:C58"/>
    <mergeCell ref="A40:C40"/>
    <mergeCell ref="A6:J6"/>
    <mergeCell ref="A73:C73"/>
    <mergeCell ref="A74:C74"/>
    <mergeCell ref="A65:C65"/>
    <mergeCell ref="A33:B33"/>
    <mergeCell ref="A35:B35"/>
    <mergeCell ref="A98:B98"/>
    <mergeCell ref="A99:B99"/>
    <mergeCell ref="A100:B100"/>
    <mergeCell ref="A103:B103"/>
    <mergeCell ref="A104:B104"/>
    <mergeCell ref="A105:B105"/>
    <mergeCell ref="A106:B106"/>
    <mergeCell ref="A108:B108"/>
    <mergeCell ref="A110:B110"/>
    <mergeCell ref="A101:B101"/>
    <mergeCell ref="K280:K281"/>
    <mergeCell ref="F280:G281"/>
    <mergeCell ref="H280:H281"/>
    <mergeCell ref="A279:C279"/>
    <mergeCell ref="D279:E279"/>
    <mergeCell ref="A278:C278"/>
    <mergeCell ref="A261:C261"/>
    <mergeCell ref="A262:C262"/>
    <mergeCell ref="A263:C263"/>
    <mergeCell ref="A272:C272"/>
    <mergeCell ref="A280:E281"/>
    <mergeCell ref="J280:J281"/>
    <mergeCell ref="A277:C277"/>
    <mergeCell ref="A266:B266"/>
    <mergeCell ref="A267:B267"/>
    <mergeCell ref="A268:B268"/>
    <mergeCell ref="A269:B269"/>
    <mergeCell ref="A274:B274"/>
    <mergeCell ref="A270:B270"/>
    <mergeCell ref="I280:I281"/>
    <mergeCell ref="A271:B271"/>
    <mergeCell ref="A275:B275"/>
    <mergeCell ref="A273:J273"/>
    <mergeCell ref="A265:B265"/>
    <mergeCell ref="A67:A72"/>
    <mergeCell ref="A178:C178"/>
    <mergeCell ref="A115:C115"/>
    <mergeCell ref="A131:B131"/>
    <mergeCell ref="A118:B118"/>
    <mergeCell ref="A119:B119"/>
    <mergeCell ref="A79:B79"/>
    <mergeCell ref="A120:B120"/>
    <mergeCell ref="A132:B132"/>
    <mergeCell ref="A75:B75"/>
    <mergeCell ref="A76:B76"/>
    <mergeCell ref="A84:A86"/>
    <mergeCell ref="A87:B87"/>
    <mergeCell ref="A113:B113"/>
    <mergeCell ref="A121:B121"/>
    <mergeCell ref="A136:B136"/>
    <mergeCell ref="A143:B143"/>
    <mergeCell ref="A144:B144"/>
    <mergeCell ref="A156:B156"/>
    <mergeCell ref="A145:B145"/>
    <mergeCell ref="A154:B154"/>
    <mergeCell ref="A135:B135"/>
    <mergeCell ref="A142:B142"/>
    <mergeCell ref="A122:B122"/>
    <mergeCell ref="A88:B88"/>
    <mergeCell ref="A89:B89"/>
    <mergeCell ref="A90:B90"/>
    <mergeCell ref="A133:B133"/>
    <mergeCell ref="A130:C130"/>
    <mergeCell ref="A152:B152"/>
    <mergeCell ref="A123:B123"/>
    <mergeCell ref="A124:B124"/>
    <mergeCell ref="A125:B125"/>
    <mergeCell ref="A126:B126"/>
    <mergeCell ref="A116:G116"/>
    <mergeCell ref="A91:B91"/>
    <mergeCell ref="A127:B127"/>
    <mergeCell ref="A137:B137"/>
    <mergeCell ref="A138:B138"/>
    <mergeCell ref="A139:B139"/>
    <mergeCell ref="A140:B140"/>
    <mergeCell ref="A92:C92"/>
    <mergeCell ref="A102:C102"/>
    <mergeCell ref="A107:C107"/>
    <mergeCell ref="A109:C109"/>
    <mergeCell ref="A111:C111"/>
    <mergeCell ref="A96:B96"/>
    <mergeCell ref="A97:B97"/>
    <mergeCell ref="A174:B174"/>
    <mergeCell ref="A183:B183"/>
    <mergeCell ref="A197:B197"/>
    <mergeCell ref="A141:B141"/>
    <mergeCell ref="A114:C114"/>
    <mergeCell ref="A146:B146"/>
    <mergeCell ref="A147:B147"/>
    <mergeCell ref="A148:B148"/>
    <mergeCell ref="A149:B149"/>
    <mergeCell ref="A155:B155"/>
    <mergeCell ref="A157:B157"/>
    <mergeCell ref="A158:B158"/>
    <mergeCell ref="A160:B160"/>
    <mergeCell ref="A161:B161"/>
    <mergeCell ref="A162:B162"/>
    <mergeCell ref="A164:B164"/>
    <mergeCell ref="A165:B165"/>
    <mergeCell ref="A175:B175"/>
    <mergeCell ref="A181:B181"/>
    <mergeCell ref="A182:B182"/>
    <mergeCell ref="A195:C195"/>
    <mergeCell ref="A196:J196"/>
    <mergeCell ref="A184:B184"/>
    <mergeCell ref="A186:B186"/>
    <mergeCell ref="A185:B185"/>
    <mergeCell ref="A211:B211"/>
    <mergeCell ref="A198:B198"/>
    <mergeCell ref="A187:B187"/>
    <mergeCell ref="A208:B208"/>
    <mergeCell ref="A209:B209"/>
    <mergeCell ref="A210:B210"/>
    <mergeCell ref="A201:B201"/>
    <mergeCell ref="A200:B200"/>
    <mergeCell ref="A225:B225"/>
    <mergeCell ref="A226:B226"/>
    <mergeCell ref="A227:B227"/>
    <mergeCell ref="A221:B221"/>
    <mergeCell ref="A216:B216"/>
    <mergeCell ref="A223:B223"/>
    <mergeCell ref="A254:B254"/>
    <mergeCell ref="A224:B224"/>
    <mergeCell ref="A228:B228"/>
    <mergeCell ref="A239:B239"/>
    <mergeCell ref="A240:B240"/>
    <mergeCell ref="A236:B236"/>
    <mergeCell ref="A235:B235"/>
    <mergeCell ref="A234:B234"/>
    <mergeCell ref="A241:B241"/>
    <mergeCell ref="A244:B244"/>
    <mergeCell ref="A237:B237"/>
    <mergeCell ref="A232:B232"/>
    <mergeCell ref="A231:B231"/>
    <mergeCell ref="A229:B229"/>
    <mergeCell ref="A230:B230"/>
    <mergeCell ref="A253:B253"/>
    <mergeCell ref="A255:B255"/>
    <mergeCell ref="A256:B256"/>
    <mergeCell ref="A233:B233"/>
    <mergeCell ref="A257:B257"/>
    <mergeCell ref="A264:C264"/>
    <mergeCell ref="A259:C259"/>
    <mergeCell ref="A242:B242"/>
    <mergeCell ref="A249:C249"/>
    <mergeCell ref="A238:C238"/>
    <mergeCell ref="A246:B246"/>
    <mergeCell ref="A245:B245"/>
    <mergeCell ref="A250:B250"/>
    <mergeCell ref="A251:B251"/>
    <mergeCell ref="A252:B252"/>
    <mergeCell ref="A247:B247"/>
    <mergeCell ref="A248:B248"/>
    <mergeCell ref="A260:C260"/>
    <mergeCell ref="A258:B258"/>
    <mergeCell ref="A166:B166"/>
    <mergeCell ref="A176:B176"/>
    <mergeCell ref="A159:B159"/>
    <mergeCell ref="A194:C194"/>
    <mergeCell ref="A169:B169"/>
    <mergeCell ref="A189:B189"/>
    <mergeCell ref="A206:B206"/>
    <mergeCell ref="A220:C220"/>
    <mergeCell ref="A217:B217"/>
    <mergeCell ref="A218:B218"/>
    <mergeCell ref="A167:B167"/>
    <mergeCell ref="A192:B192"/>
    <mergeCell ref="A207:B207"/>
    <mergeCell ref="A190:B190"/>
    <mergeCell ref="A177:B177"/>
    <mergeCell ref="A214:B214"/>
    <mergeCell ref="A219:B219"/>
    <mergeCell ref="A215:B215"/>
    <mergeCell ref="A179:C179"/>
    <mergeCell ref="A191:B191"/>
    <mergeCell ref="A168:B168"/>
    <mergeCell ref="A170:C170"/>
    <mergeCell ref="A180:B180"/>
    <mergeCell ref="A188:B188"/>
    <mergeCell ref="G291:H291"/>
    <mergeCell ref="C290:F290"/>
    <mergeCell ref="C291:F291"/>
    <mergeCell ref="G284:H284"/>
    <mergeCell ref="G285:H285"/>
    <mergeCell ref="G286:H286"/>
    <mergeCell ref="G287:H287"/>
    <mergeCell ref="G288:H288"/>
    <mergeCell ref="G289:H289"/>
    <mergeCell ref="C284:F284"/>
    <mergeCell ref="C285:F285"/>
    <mergeCell ref="C286:F286"/>
    <mergeCell ref="C287:F287"/>
    <mergeCell ref="C289:F289"/>
    <mergeCell ref="C288:F288"/>
    <mergeCell ref="A112:B112"/>
    <mergeCell ref="A78:B78"/>
    <mergeCell ref="A80:C80"/>
    <mergeCell ref="A129:B129"/>
    <mergeCell ref="A193:B193"/>
    <mergeCell ref="A128:B128"/>
    <mergeCell ref="A282:J283"/>
    <mergeCell ref="G290:H290"/>
    <mergeCell ref="A212:B212"/>
    <mergeCell ref="A213:B213"/>
    <mergeCell ref="A202:B202"/>
    <mergeCell ref="A203:B203"/>
    <mergeCell ref="A204:B204"/>
    <mergeCell ref="A205:B205"/>
    <mergeCell ref="A222:B222"/>
    <mergeCell ref="A82:J82"/>
    <mergeCell ref="A199:B199"/>
    <mergeCell ref="A150:B150"/>
    <mergeCell ref="A151:B151"/>
    <mergeCell ref="A153:B153"/>
    <mergeCell ref="A163:B163"/>
    <mergeCell ref="A171:B171"/>
    <mergeCell ref="A172:B172"/>
    <mergeCell ref="A173:B173"/>
  </mergeCells>
  <phoneticPr fontId="11" type="noConversion"/>
  <pageMargins left="1.1811023622047201" right="0.70866141732283505" top="0.74803149606299202" bottom="0.74803149606299202" header="0.31496062992126" footer="0.31496062992126"/>
  <pageSetup scale="74" firstPageNumber="3" fitToHeight="0" orientation="portrait" useFirstPageNumber="1" r:id="rId1"/>
  <headerFooter>
    <oddFooter>&amp;RPage &amp;P</oddFooter>
    <evenFooter>&amp;R&amp;[6</evenFooter>
    <firstFooter>&amp;R&amp;P</firstFooter>
  </headerFooter>
  <rowBreaks count="3" manualBreakCount="3">
    <brk id="73" max="9" man="1"/>
    <brk id="137" max="9" man="1"/>
    <brk id="199" max="9" man="1"/>
  </rowBreaks>
  <colBreaks count="1" manualBreakCount="1">
    <brk id="1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I61"/>
  <sheetViews>
    <sheetView view="pageBreakPreview" topLeftCell="A34" zoomScaleSheetLayoutView="100" workbookViewId="0">
      <selection activeCell="D37" sqref="D37"/>
    </sheetView>
  </sheetViews>
  <sheetFormatPr defaultRowHeight="12.75" x14ac:dyDescent="0.2"/>
  <cols>
    <col min="1" max="1" width="4.140625" customWidth="1"/>
    <col min="2" max="2" width="33.7109375" customWidth="1"/>
    <col min="3" max="4" width="14.7109375" customWidth="1"/>
    <col min="5" max="5" width="12.85546875" customWidth="1"/>
    <col min="6" max="6" width="12.7109375" customWidth="1"/>
    <col min="7" max="7" width="10" bestFit="1" customWidth="1"/>
    <col min="8" max="8" width="11" bestFit="1" customWidth="1"/>
    <col min="9" max="9" width="10" bestFit="1" customWidth="1"/>
  </cols>
  <sheetData>
    <row r="1" spans="1:9" ht="10.5" customHeight="1" x14ac:dyDescent="0.2">
      <c r="A1" s="1474" t="s">
        <v>394</v>
      </c>
      <c r="B1" s="1474"/>
      <c r="C1" s="1474"/>
      <c r="D1" s="1474"/>
      <c r="E1" s="1474"/>
      <c r="F1" s="1474"/>
    </row>
    <row r="2" spans="1:9" ht="10.5" customHeight="1" x14ac:dyDescent="0.2">
      <c r="A2" s="1474"/>
      <c r="B2" s="1474"/>
      <c r="C2" s="1474"/>
      <c r="D2" s="1474"/>
      <c r="E2" s="1474"/>
      <c r="F2" s="1474"/>
    </row>
    <row r="3" spans="1:9" ht="7.5" customHeight="1" x14ac:dyDescent="0.2">
      <c r="A3" s="1475" t="s">
        <v>399</v>
      </c>
      <c r="B3" s="1476" t="s">
        <v>385</v>
      </c>
      <c r="C3" s="1477" t="s">
        <v>504</v>
      </c>
      <c r="D3" s="1477"/>
      <c r="E3" s="1477" t="s">
        <v>439</v>
      </c>
      <c r="F3" s="1436" t="s">
        <v>360</v>
      </c>
    </row>
    <row r="4" spans="1:9" ht="18" customHeight="1" x14ac:dyDescent="0.2">
      <c r="A4" s="1475"/>
      <c r="B4" s="1476"/>
      <c r="C4" s="1477"/>
      <c r="D4" s="1477"/>
      <c r="E4" s="1477"/>
      <c r="F4" s="1436"/>
    </row>
    <row r="5" spans="1:9" x14ac:dyDescent="0.2">
      <c r="A5" s="1475"/>
      <c r="B5" s="1476"/>
      <c r="C5" s="716">
        <v>45778</v>
      </c>
      <c r="D5" s="716">
        <v>45809</v>
      </c>
      <c r="E5" s="1477"/>
      <c r="F5" s="38" t="s">
        <v>361</v>
      </c>
    </row>
    <row r="6" spans="1:9" ht="12" customHeight="1" x14ac:dyDescent="0.2">
      <c r="A6" s="377">
        <v>1</v>
      </c>
      <c r="B6" s="378">
        <v>2</v>
      </c>
      <c r="C6" s="377">
        <v>3</v>
      </c>
      <c r="D6" s="377">
        <v>4</v>
      </c>
      <c r="E6" s="379" t="s">
        <v>487</v>
      </c>
      <c r="F6" s="38" t="s">
        <v>696</v>
      </c>
    </row>
    <row r="7" spans="1:9" ht="14.1" customHeight="1" x14ac:dyDescent="0.2">
      <c r="A7" s="243">
        <v>1</v>
      </c>
      <c r="B7" s="300" t="s">
        <v>1407</v>
      </c>
      <c r="C7" s="842">
        <v>77767952</v>
      </c>
      <c r="D7" s="730">
        <v>80785220</v>
      </c>
      <c r="E7" s="956">
        <f t="shared" ref="E7:E18" si="0">D7-C7</f>
        <v>3017268</v>
      </c>
      <c r="F7" s="455">
        <f>E7/C7</f>
        <v>3.8798347164909271E-2</v>
      </c>
    </row>
    <row r="8" spans="1:9" ht="14.1" customHeight="1" x14ac:dyDescent="0.2">
      <c r="A8" s="244">
        <v>2</v>
      </c>
      <c r="B8" s="300" t="s">
        <v>1408</v>
      </c>
      <c r="C8" s="39">
        <v>82575241</v>
      </c>
      <c r="D8" s="731">
        <v>85342768</v>
      </c>
      <c r="E8" s="39">
        <f t="shared" si="0"/>
        <v>2767527</v>
      </c>
      <c r="F8" s="455">
        <f t="shared" ref="F8:F56" si="1">E8/C8</f>
        <v>3.3515215535368528E-2</v>
      </c>
    </row>
    <row r="9" spans="1:9" ht="14.1" customHeight="1" x14ac:dyDescent="0.2">
      <c r="A9" s="243">
        <v>3</v>
      </c>
      <c r="B9" s="300" t="s">
        <v>1406</v>
      </c>
      <c r="C9" s="39">
        <v>40962102</v>
      </c>
      <c r="D9" s="731">
        <v>41423390</v>
      </c>
      <c r="E9" s="39">
        <f t="shared" si="0"/>
        <v>461288</v>
      </c>
      <c r="F9" s="455">
        <f t="shared" si="1"/>
        <v>1.1261336149204453E-2</v>
      </c>
    </row>
    <row r="10" spans="1:9" ht="14.1" customHeight="1" x14ac:dyDescent="0.2">
      <c r="A10" s="244">
        <v>4</v>
      </c>
      <c r="B10" s="301" t="s">
        <v>386</v>
      </c>
      <c r="C10" s="39">
        <v>72386641</v>
      </c>
      <c r="D10" s="731">
        <v>70190734</v>
      </c>
      <c r="E10" s="41">
        <f t="shared" si="0"/>
        <v>-2195907</v>
      </c>
      <c r="F10" s="455">
        <f t="shared" si="1"/>
        <v>-3.0335804641080114E-2</v>
      </c>
    </row>
    <row r="11" spans="1:9" ht="14.1" customHeight="1" x14ac:dyDescent="0.2">
      <c r="A11" s="243">
        <v>5</v>
      </c>
      <c r="B11" s="302" t="s">
        <v>354</v>
      </c>
      <c r="C11" s="40">
        <v>273691936</v>
      </c>
      <c r="D11" s="40">
        <f>SUM(D7:D10)</f>
        <v>277742112</v>
      </c>
      <c r="E11" s="463">
        <f t="shared" si="0"/>
        <v>4050176</v>
      </c>
      <c r="F11" s="455">
        <f t="shared" si="1"/>
        <v>1.4798302278076618E-2</v>
      </c>
    </row>
    <row r="12" spans="1:9" ht="14.1" customHeight="1" x14ac:dyDescent="0.2">
      <c r="A12" s="244">
        <v>6</v>
      </c>
      <c r="B12" s="301" t="s">
        <v>355</v>
      </c>
      <c r="C12" s="39">
        <v>24114863</v>
      </c>
      <c r="D12" s="731">
        <v>26637571</v>
      </c>
      <c r="E12" s="39">
        <f t="shared" si="0"/>
        <v>2522708</v>
      </c>
      <c r="F12" s="455">
        <f t="shared" si="1"/>
        <v>0.10461216387586361</v>
      </c>
    </row>
    <row r="13" spans="1:9" ht="14.1" customHeight="1" x14ac:dyDescent="0.2">
      <c r="A13" s="243">
        <v>7</v>
      </c>
      <c r="B13" s="301" t="s">
        <v>356</v>
      </c>
      <c r="C13" s="39">
        <v>91376255</v>
      </c>
      <c r="D13" s="731">
        <v>98367358</v>
      </c>
      <c r="E13" s="39">
        <f t="shared" si="0"/>
        <v>6991103</v>
      </c>
      <c r="F13" s="455">
        <f t="shared" si="1"/>
        <v>7.6508968330995838E-2</v>
      </c>
    </row>
    <row r="14" spans="1:9" ht="13.5" customHeight="1" x14ac:dyDescent="0.2">
      <c r="A14" s="244">
        <v>8</v>
      </c>
      <c r="B14" s="302" t="s">
        <v>357</v>
      </c>
      <c r="C14" s="40">
        <v>115491118</v>
      </c>
      <c r="D14" s="732">
        <f>SUM(D12:D13)</f>
        <v>125004929</v>
      </c>
      <c r="E14" s="40">
        <f t="shared" si="0"/>
        <v>9513811</v>
      </c>
      <c r="F14" s="455">
        <f t="shared" si="1"/>
        <v>8.2376992835068066E-2</v>
      </c>
      <c r="I14" s="11"/>
    </row>
    <row r="15" spans="1:9" ht="14.1" customHeight="1" x14ac:dyDescent="0.2">
      <c r="A15" s="243">
        <v>9</v>
      </c>
      <c r="B15" s="301" t="s">
        <v>387</v>
      </c>
      <c r="C15" s="39">
        <v>156543039</v>
      </c>
      <c r="D15" s="731">
        <v>149151621</v>
      </c>
      <c r="E15" s="39">
        <f t="shared" si="0"/>
        <v>-7391418</v>
      </c>
      <c r="F15" s="455">
        <f t="shared" si="1"/>
        <v>-4.7216522990843432E-2</v>
      </c>
    </row>
    <row r="16" spans="1:9" ht="14.1" customHeight="1" x14ac:dyDescent="0.2">
      <c r="A16" s="244">
        <v>10</v>
      </c>
      <c r="B16" s="301" t="s">
        <v>388</v>
      </c>
      <c r="C16" s="39">
        <v>63273654</v>
      </c>
      <c r="D16" s="731">
        <v>60430063</v>
      </c>
      <c r="E16" s="39">
        <f t="shared" si="0"/>
        <v>-2843591</v>
      </c>
      <c r="F16" s="455">
        <f t="shared" si="1"/>
        <v>-4.4941153548679204E-2</v>
      </c>
    </row>
    <row r="17" spans="1:8" ht="14.1" customHeight="1" x14ac:dyDescent="0.2">
      <c r="A17" s="243">
        <v>11</v>
      </c>
      <c r="B17" s="302" t="s">
        <v>358</v>
      </c>
      <c r="C17" s="40">
        <v>219816693</v>
      </c>
      <c r="D17" s="40">
        <f>D15+D16</f>
        <v>209581684</v>
      </c>
      <c r="E17" s="40">
        <f t="shared" si="0"/>
        <v>-10235009</v>
      </c>
      <c r="F17" s="455">
        <f t="shared" si="1"/>
        <v>-4.6561563911799914E-2</v>
      </c>
    </row>
    <row r="18" spans="1:8" ht="14.1" customHeight="1" x14ac:dyDescent="0.2">
      <c r="A18" s="244">
        <v>12</v>
      </c>
      <c r="B18" s="301" t="s">
        <v>389</v>
      </c>
      <c r="C18" s="39">
        <v>117857835</v>
      </c>
      <c r="D18" s="731">
        <v>100076972</v>
      </c>
      <c r="E18" s="39">
        <f t="shared" si="0"/>
        <v>-17780863</v>
      </c>
      <c r="F18" s="455">
        <f t="shared" si="1"/>
        <v>-0.15086704248385355</v>
      </c>
    </row>
    <row r="19" spans="1:8" ht="14.1" customHeight="1" x14ac:dyDescent="0.2">
      <c r="A19" s="243">
        <v>13</v>
      </c>
      <c r="B19" s="301" t="s">
        <v>390</v>
      </c>
      <c r="C19" s="39">
        <v>184467619</v>
      </c>
      <c r="D19" s="731">
        <v>156883182</v>
      </c>
      <c r="E19" s="39">
        <f t="shared" ref="E19:E30" si="2">D19-C19</f>
        <v>-27584437</v>
      </c>
      <c r="F19" s="455">
        <f t="shared" si="1"/>
        <v>-0.14953538810516115</v>
      </c>
    </row>
    <row r="20" spans="1:8" ht="14.25" customHeight="1" x14ac:dyDescent="0.2">
      <c r="A20" s="244">
        <v>14</v>
      </c>
      <c r="B20" s="1122" t="s">
        <v>391</v>
      </c>
      <c r="C20" s="39">
        <v>71668021</v>
      </c>
      <c r="D20" s="731">
        <v>63869829</v>
      </c>
      <c r="E20" s="1123">
        <f t="shared" si="2"/>
        <v>-7798192</v>
      </c>
      <c r="F20" s="455">
        <f t="shared" si="1"/>
        <v>-0.10880992514081002</v>
      </c>
    </row>
    <row r="21" spans="1:8" ht="14.1" customHeight="1" x14ac:dyDescent="0.2">
      <c r="A21" s="243">
        <v>15</v>
      </c>
      <c r="B21" s="301" t="s">
        <v>392</v>
      </c>
      <c r="C21" s="39">
        <v>58802272</v>
      </c>
      <c r="D21" s="731">
        <v>51622307</v>
      </c>
      <c r="E21" s="39">
        <f t="shared" si="2"/>
        <v>-7179965</v>
      </c>
      <c r="F21" s="455">
        <f t="shared" si="1"/>
        <v>-0.1221035302853604</v>
      </c>
    </row>
    <row r="22" spans="1:8" ht="14.1" customHeight="1" x14ac:dyDescent="0.2">
      <c r="A22" s="244">
        <v>16</v>
      </c>
      <c r="B22" s="301" t="s">
        <v>1623</v>
      </c>
      <c r="C22" s="39">
        <v>42355015</v>
      </c>
      <c r="D22" s="731">
        <v>38758018</v>
      </c>
      <c r="E22" s="39">
        <f t="shared" si="2"/>
        <v>-3596997</v>
      </c>
      <c r="F22" s="455">
        <f t="shared" si="1"/>
        <v>-8.492493746018033E-2</v>
      </c>
    </row>
    <row r="23" spans="1:8" ht="14.1" customHeight="1" x14ac:dyDescent="0.2">
      <c r="A23" s="243">
        <v>17</v>
      </c>
      <c r="B23" s="301" t="s">
        <v>393</v>
      </c>
      <c r="C23" s="39">
        <v>37007237</v>
      </c>
      <c r="D23" s="731">
        <v>37083517</v>
      </c>
      <c r="E23" s="39">
        <f t="shared" ref="E23" si="3">D23-C23</f>
        <v>76280</v>
      </c>
      <c r="F23" s="455">
        <f t="shared" ref="F23" si="4">E23/C23</f>
        <v>2.0612184584328733E-3</v>
      </c>
    </row>
    <row r="24" spans="1:8" ht="14.1" customHeight="1" x14ac:dyDescent="0.2">
      <c r="A24" s="244">
        <v>18</v>
      </c>
      <c r="B24" s="302" t="s">
        <v>359</v>
      </c>
      <c r="C24" s="40">
        <v>512157999</v>
      </c>
      <c r="D24" s="1151">
        <f>SUM(D18:D23)</f>
        <v>448293825</v>
      </c>
      <c r="E24" s="40">
        <f t="shared" si="2"/>
        <v>-63864174</v>
      </c>
      <c r="F24" s="455">
        <f t="shared" si="1"/>
        <v>-0.12469623460864857</v>
      </c>
      <c r="G24" t="s">
        <v>1528</v>
      </c>
    </row>
    <row r="25" spans="1:8" ht="14.1" customHeight="1" x14ac:dyDescent="0.2">
      <c r="A25" s="243">
        <v>19</v>
      </c>
      <c r="B25" s="306" t="s">
        <v>488</v>
      </c>
      <c r="C25" s="40">
        <v>1121157746</v>
      </c>
      <c r="D25" s="1151">
        <f>D24+D17+D14+D11</f>
        <v>1060622550</v>
      </c>
      <c r="E25" s="39">
        <f t="shared" si="2"/>
        <v>-60535196</v>
      </c>
      <c r="F25" s="455">
        <f t="shared" si="1"/>
        <v>-5.3993468997537479E-2</v>
      </c>
      <c r="G25">
        <v>7.2895000000000003</v>
      </c>
      <c r="H25">
        <f>D25*G25</f>
        <v>7731408078.2250004</v>
      </c>
    </row>
    <row r="26" spans="1:8" ht="14.1" customHeight="1" x14ac:dyDescent="0.2">
      <c r="A26" s="244">
        <v>20</v>
      </c>
      <c r="B26" s="306" t="s">
        <v>1344</v>
      </c>
      <c r="C26" s="39">
        <v>272136287</v>
      </c>
      <c r="D26" s="1123">
        <v>220445748.64626628</v>
      </c>
      <c r="E26" s="39">
        <f t="shared" si="2"/>
        <v>-51690538.353733718</v>
      </c>
      <c r="F26" s="455">
        <f t="shared" si="1"/>
        <v>-0.18994357174327772</v>
      </c>
    </row>
    <row r="27" spans="1:8" ht="14.1" customHeight="1" x14ac:dyDescent="0.2">
      <c r="A27" s="243">
        <v>21</v>
      </c>
      <c r="B27" s="306" t="s">
        <v>1660</v>
      </c>
      <c r="C27" s="39">
        <v>14740075</v>
      </c>
      <c r="D27" s="1123">
        <v>5018181.82</v>
      </c>
      <c r="E27" s="39">
        <f t="shared" si="2"/>
        <v>-9721893.1799999997</v>
      </c>
      <c r="F27" s="455">
        <f t="shared" si="1"/>
        <v>-0.65955520443417004</v>
      </c>
    </row>
    <row r="28" spans="1:8" ht="14.1" customHeight="1" x14ac:dyDescent="0.2">
      <c r="A28" s="244">
        <v>22</v>
      </c>
      <c r="B28" s="306" t="s">
        <v>535</v>
      </c>
      <c r="C28" s="384">
        <v>1148411276</v>
      </c>
      <c r="D28" s="733">
        <v>948997017.7094475</v>
      </c>
      <c r="E28" s="39">
        <f t="shared" si="2"/>
        <v>-199414258.2905525</v>
      </c>
      <c r="F28" s="455">
        <f t="shared" si="1"/>
        <v>-0.17364359133178042</v>
      </c>
    </row>
    <row r="29" spans="1:8" ht="14.1" customHeight="1" x14ac:dyDescent="0.2">
      <c r="A29" s="243">
        <v>23</v>
      </c>
      <c r="B29" s="306" t="s">
        <v>1529</v>
      </c>
      <c r="C29" s="39">
        <v>768937675</v>
      </c>
      <c r="D29" s="731">
        <v>672590792.27805817</v>
      </c>
      <c r="E29" s="39">
        <f t="shared" si="2"/>
        <v>-96346882.721941829</v>
      </c>
      <c r="F29" s="455">
        <f t="shared" si="1"/>
        <v>-0.12529868915831421</v>
      </c>
    </row>
    <row r="30" spans="1:8" ht="14.1" customHeight="1" x14ac:dyDescent="0.2">
      <c r="A30" s="244">
        <v>24</v>
      </c>
      <c r="B30" s="303" t="s">
        <v>489</v>
      </c>
      <c r="C30" s="39">
        <v>439843438.55676961</v>
      </c>
      <c r="D30" s="731">
        <v>416348143</v>
      </c>
      <c r="E30" s="39">
        <f t="shared" si="2"/>
        <v>-23495295.556769609</v>
      </c>
      <c r="F30" s="455">
        <f t="shared" si="1"/>
        <v>-5.3417406052169908E-2</v>
      </c>
      <c r="H30" s="11"/>
    </row>
    <row r="31" spans="1:8" ht="14.1" customHeight="1" x14ac:dyDescent="0.2">
      <c r="A31" s="243">
        <v>25</v>
      </c>
      <c r="B31" s="303" t="s">
        <v>400</v>
      </c>
      <c r="C31" s="39">
        <v>944351111.39945722</v>
      </c>
      <c r="D31" s="731">
        <v>993769293</v>
      </c>
      <c r="E31" s="39">
        <f t="shared" ref="E31:E56" si="5">D31-C31</f>
        <v>49418181.600542784</v>
      </c>
      <c r="F31" s="455">
        <f t="shared" si="1"/>
        <v>5.2330304908847686E-2</v>
      </c>
      <c r="H31" s="1265"/>
    </row>
    <row r="32" spans="1:8" ht="14.1" customHeight="1" x14ac:dyDescent="0.2">
      <c r="A32" s="244">
        <v>26</v>
      </c>
      <c r="B32" s="380" t="s">
        <v>490</v>
      </c>
      <c r="C32" s="40">
        <v>1384194549.9562268</v>
      </c>
      <c r="D32" s="40">
        <f>D30+D31</f>
        <v>1410117436</v>
      </c>
      <c r="E32" s="39">
        <f>D32-C32</f>
        <v>25922886.043773174</v>
      </c>
      <c r="F32" s="455">
        <f t="shared" si="1"/>
        <v>1.8727776413072099E-2</v>
      </c>
      <c r="H32" s="11"/>
    </row>
    <row r="33" spans="1:9" ht="14.1" customHeight="1" x14ac:dyDescent="0.2">
      <c r="A33" s="243">
        <v>27</v>
      </c>
      <c r="B33" s="362" t="s">
        <v>609</v>
      </c>
      <c r="C33" s="843">
        <v>487632599</v>
      </c>
      <c r="D33" s="731">
        <v>501761025</v>
      </c>
      <c r="E33" s="39">
        <f t="shared" si="5"/>
        <v>14128426</v>
      </c>
      <c r="F33" s="455">
        <f t="shared" si="1"/>
        <v>2.8973505932485863E-2</v>
      </c>
      <c r="I33" s="1264"/>
    </row>
    <row r="34" spans="1:9" ht="14.1" customHeight="1" x14ac:dyDescent="0.2">
      <c r="A34" s="244">
        <v>28</v>
      </c>
      <c r="B34" s="303" t="s">
        <v>610</v>
      </c>
      <c r="C34" s="39">
        <v>986971353</v>
      </c>
      <c r="D34" s="731">
        <v>1066370426</v>
      </c>
      <c r="E34" s="39">
        <f t="shared" si="5"/>
        <v>79399073</v>
      </c>
      <c r="F34" s="455">
        <f t="shared" si="1"/>
        <v>8.0447191054389189E-2</v>
      </c>
    </row>
    <row r="35" spans="1:9" ht="14.1" customHeight="1" x14ac:dyDescent="0.2">
      <c r="A35" s="243">
        <v>29</v>
      </c>
      <c r="B35" s="380" t="s">
        <v>611</v>
      </c>
      <c r="C35" s="40">
        <v>1474603952</v>
      </c>
      <c r="D35" s="40">
        <f>D33+D34</f>
        <v>1568131451</v>
      </c>
      <c r="E35" s="39">
        <f t="shared" ref="E35:E40" si="6">D35-C35</f>
        <v>93527499</v>
      </c>
      <c r="F35" s="455">
        <f t="shared" si="1"/>
        <v>6.3425504097658889E-2</v>
      </c>
    </row>
    <row r="36" spans="1:9" ht="14.1" customHeight="1" x14ac:dyDescent="0.2">
      <c r="A36" s="244">
        <v>30</v>
      </c>
      <c r="B36" s="1266" t="s">
        <v>491</v>
      </c>
      <c r="C36" s="39">
        <v>1574115244</v>
      </c>
      <c r="D36" s="1123">
        <v>1690282967</v>
      </c>
      <c r="E36" s="39">
        <f t="shared" si="6"/>
        <v>116167723</v>
      </c>
      <c r="F36" s="455">
        <f t="shared" si="1"/>
        <v>7.3798740875417129E-2</v>
      </c>
      <c r="G36" s="1263"/>
    </row>
    <row r="37" spans="1:9" ht="14.1" customHeight="1" x14ac:dyDescent="0.2">
      <c r="A37" s="243">
        <v>31</v>
      </c>
      <c r="B37" s="303" t="s">
        <v>495</v>
      </c>
      <c r="C37" s="39">
        <v>172742805.68181816</v>
      </c>
      <c r="D37" s="731">
        <v>125874693.68181817</v>
      </c>
      <c r="E37" s="39">
        <f t="shared" si="6"/>
        <v>-46868111.999999985</v>
      </c>
      <c r="F37" s="455">
        <f>E37/C37</f>
        <v>-0.27131730213024458</v>
      </c>
    </row>
    <row r="38" spans="1:9" ht="14.1" customHeight="1" x14ac:dyDescent="0.2">
      <c r="A38" s="244">
        <v>32</v>
      </c>
      <c r="B38" s="303" t="s">
        <v>496</v>
      </c>
      <c r="C38" s="39">
        <v>41765919.926987991</v>
      </c>
      <c r="D38" s="731">
        <v>38020118.418501973</v>
      </c>
      <c r="E38" s="39">
        <f t="shared" si="6"/>
        <v>-3745801.5084860176</v>
      </c>
      <c r="F38" s="455">
        <f>E38/C38</f>
        <v>-8.9685598091318069E-2</v>
      </c>
    </row>
    <row r="39" spans="1:9" ht="14.1" customHeight="1" x14ac:dyDescent="0.2">
      <c r="A39" s="243">
        <v>33</v>
      </c>
      <c r="B39" s="303" t="s">
        <v>497</v>
      </c>
      <c r="C39" s="39">
        <v>245708817.60230494</v>
      </c>
      <c r="D39" s="731">
        <v>205801892.52116013</v>
      </c>
      <c r="E39" s="39">
        <f t="shared" si="6"/>
        <v>-39906925.08114481</v>
      </c>
      <c r="F39" s="455">
        <f>E39/C39</f>
        <v>-0.16241551878588525</v>
      </c>
    </row>
    <row r="40" spans="1:9" ht="14.1" customHeight="1" x14ac:dyDescent="0.2">
      <c r="A40" s="244">
        <v>34</v>
      </c>
      <c r="B40" s="303" t="s">
        <v>588</v>
      </c>
      <c r="C40" s="39">
        <v>97855521.16596657</v>
      </c>
      <c r="D40" s="731">
        <v>88791023.004452392</v>
      </c>
      <c r="E40" s="39">
        <f t="shared" si="6"/>
        <v>-9064498.1615141779</v>
      </c>
      <c r="F40" s="455">
        <f>E40/C40</f>
        <v>-9.2631443310597208E-2</v>
      </c>
    </row>
    <row r="41" spans="1:9" ht="14.1" customHeight="1" x14ac:dyDescent="0.2">
      <c r="A41" s="243">
        <v>35</v>
      </c>
      <c r="B41" s="304" t="s">
        <v>1185</v>
      </c>
      <c r="C41" s="39">
        <v>328465685.09888917</v>
      </c>
      <c r="D41" s="731">
        <v>277179823.86412275</v>
      </c>
      <c r="E41" s="39">
        <f t="shared" si="5"/>
        <v>-51285861.234766424</v>
      </c>
      <c r="F41" s="455">
        <f t="shared" si="1"/>
        <v>-0.15613765322038464</v>
      </c>
    </row>
    <row r="42" spans="1:9" ht="14.1" customHeight="1" x14ac:dyDescent="0.2">
      <c r="A42" s="244">
        <v>36</v>
      </c>
      <c r="B42" s="304" t="s">
        <v>1186</v>
      </c>
      <c r="C42" s="39">
        <v>83989499.999999911</v>
      </c>
      <c r="D42" s="731">
        <v>76495500.000000179</v>
      </c>
      <c r="E42" s="39">
        <f t="shared" si="5"/>
        <v>-7493999.9999997318</v>
      </c>
      <c r="F42" s="455">
        <f t="shared" si="1"/>
        <v>-8.9225438894144388E-2</v>
      </c>
    </row>
    <row r="43" spans="1:9" ht="14.1" customHeight="1" x14ac:dyDescent="0.2">
      <c r="A43" s="243">
        <v>37</v>
      </c>
      <c r="B43" s="303" t="s">
        <v>498</v>
      </c>
      <c r="C43" s="39">
        <v>83055840</v>
      </c>
      <c r="D43" s="731">
        <v>71737919.99999997</v>
      </c>
      <c r="E43" s="39">
        <f>D43-C43</f>
        <v>-11317920.00000003</v>
      </c>
      <c r="F43" s="455">
        <f>E43/C43</f>
        <v>-0.13626880421653709</v>
      </c>
    </row>
    <row r="44" spans="1:9" ht="14.1" customHeight="1" x14ac:dyDescent="0.2">
      <c r="A44" s="244">
        <v>38</v>
      </c>
      <c r="B44" s="303" t="s">
        <v>499</v>
      </c>
      <c r="C44" s="39">
        <v>96141215.999999851</v>
      </c>
      <c r="D44" s="731">
        <v>97799784.000000075</v>
      </c>
      <c r="E44" s="39">
        <f>D44-C44</f>
        <v>1658568.0000002235</v>
      </c>
      <c r="F44" s="455">
        <f>E44/C44</f>
        <v>1.7251373229981052E-2</v>
      </c>
    </row>
    <row r="45" spans="1:9" ht="14.1" customHeight="1" x14ac:dyDescent="0.2">
      <c r="A45" s="243">
        <v>39</v>
      </c>
      <c r="B45" s="303" t="s">
        <v>1502</v>
      </c>
      <c r="C45" s="39">
        <v>67439855.362825066</v>
      </c>
      <c r="D45" s="731">
        <v>54962328.815349996</v>
      </c>
      <c r="E45" s="39">
        <f>D45-C45</f>
        <v>-12477526.54747507</v>
      </c>
      <c r="F45" s="455">
        <f>E45/C45</f>
        <v>-0.18501710124297016</v>
      </c>
    </row>
    <row r="46" spans="1:9" ht="14.1" customHeight="1" x14ac:dyDescent="0.2">
      <c r="A46" s="244">
        <v>40</v>
      </c>
      <c r="B46" s="1122" t="s">
        <v>1530</v>
      </c>
      <c r="C46" s="39">
        <v>221537675.0796774</v>
      </c>
      <c r="D46" s="731">
        <v>172381543.5453136</v>
      </c>
      <c r="E46" s="39">
        <f t="shared" si="5"/>
        <v>-49156131.534363806</v>
      </c>
      <c r="F46" s="455">
        <f t="shared" si="1"/>
        <v>-0.2218861036466348</v>
      </c>
    </row>
    <row r="47" spans="1:9" ht="14.1" customHeight="1" x14ac:dyDescent="0.2">
      <c r="A47" s="243">
        <v>41</v>
      </c>
      <c r="B47" s="303" t="s">
        <v>492</v>
      </c>
      <c r="C47" s="39">
        <v>142492304.26565015</v>
      </c>
      <c r="D47" s="731">
        <v>117721618.80596566</v>
      </c>
      <c r="E47" s="39">
        <f>D47-C47</f>
        <v>-24770685.459684491</v>
      </c>
      <c r="F47" s="455">
        <f t="shared" si="1"/>
        <v>-0.17383875983578873</v>
      </c>
    </row>
    <row r="48" spans="1:9" ht="14.1" customHeight="1" x14ac:dyDescent="0.2">
      <c r="A48" s="244">
        <v>42</v>
      </c>
      <c r="B48" s="303" t="s">
        <v>493</v>
      </c>
      <c r="C48" s="39">
        <v>64421498.400000319</v>
      </c>
      <c r="D48" s="731">
        <v>56129587.499999613</v>
      </c>
      <c r="E48" s="39">
        <f t="shared" si="5"/>
        <v>-8291910.9000007063</v>
      </c>
      <c r="F48" s="455">
        <f t="shared" si="1"/>
        <v>-0.12871341253994592</v>
      </c>
    </row>
    <row r="49" spans="1:9" ht="14.1" customHeight="1" x14ac:dyDescent="0.2">
      <c r="A49" s="243">
        <v>43</v>
      </c>
      <c r="B49" s="303" t="s">
        <v>494</v>
      </c>
      <c r="C49" s="39">
        <v>107093375.99999981</v>
      </c>
      <c r="D49" s="731">
        <v>101492640.00000021</v>
      </c>
      <c r="E49" s="39">
        <f t="shared" si="5"/>
        <v>-5600735.9999995977</v>
      </c>
      <c r="F49" s="455">
        <f t="shared" si="1"/>
        <v>-5.2297688327610552E-2</v>
      </c>
      <c r="I49" t="s">
        <v>1329</v>
      </c>
    </row>
    <row r="50" spans="1:9" ht="14.1" customHeight="1" x14ac:dyDescent="0.2">
      <c r="A50" s="244">
        <v>44</v>
      </c>
      <c r="B50" s="306" t="s">
        <v>500</v>
      </c>
      <c r="C50" s="40">
        <v>1752710014.5841193</v>
      </c>
      <c r="D50" s="40">
        <f>SUM(D37:D49)</f>
        <v>1484388474.1566846</v>
      </c>
      <c r="E50" s="39">
        <f t="shared" si="5"/>
        <v>-268321540.42743468</v>
      </c>
      <c r="F50" s="455">
        <f t="shared" si="1"/>
        <v>-0.15308952319251834</v>
      </c>
    </row>
    <row r="51" spans="1:9" ht="14.1" customHeight="1" x14ac:dyDescent="0.2">
      <c r="A51" s="243">
        <v>45</v>
      </c>
      <c r="B51" s="305" t="s">
        <v>501</v>
      </c>
      <c r="C51" s="40">
        <v>9511006819.5403461</v>
      </c>
      <c r="D51" s="40">
        <f>D25+D26+D28+D29+D30+D31+D33+D34+D36+D50+D27</f>
        <v>9060594618.6104565</v>
      </c>
      <c r="E51" s="39">
        <f t="shared" si="5"/>
        <v>-450412200.92988968</v>
      </c>
      <c r="F51" s="455">
        <f t="shared" si="1"/>
        <v>-4.7356942274977519E-2</v>
      </c>
    </row>
    <row r="52" spans="1:9" ht="14.1" customHeight="1" x14ac:dyDescent="0.2">
      <c r="A52" s="244">
        <v>46</v>
      </c>
      <c r="B52" s="304" t="s">
        <v>502</v>
      </c>
      <c r="C52" s="41">
        <v>9057265643.0048122</v>
      </c>
      <c r="D52" s="41">
        <f>'Generation Reading'!K1114</f>
        <v>8669771365.9215679</v>
      </c>
      <c r="E52" s="39">
        <f t="shared" si="5"/>
        <v>-387494277.08324432</v>
      </c>
      <c r="F52" s="455">
        <f t="shared" si="1"/>
        <v>-4.2782699807697187E-2</v>
      </c>
    </row>
    <row r="53" spans="1:9" ht="14.1" customHeight="1" x14ac:dyDescent="0.2">
      <c r="A53" s="243">
        <v>47</v>
      </c>
      <c r="B53" s="303" t="s">
        <v>585</v>
      </c>
      <c r="C53" s="39">
        <v>698501032.7272768</v>
      </c>
      <c r="D53" s="39">
        <f>'Generation Reading'!H1126+'Generation Reading'!H1129</f>
        <v>638507752.72727168</v>
      </c>
      <c r="E53" s="39">
        <f t="shared" si="5"/>
        <v>-59993280.000005126</v>
      </c>
      <c r="F53" s="455">
        <f t="shared" si="1"/>
        <v>-8.5888606013599045E-2</v>
      </c>
      <c r="H53" t="s">
        <v>1329</v>
      </c>
    </row>
    <row r="54" spans="1:9" ht="14.1" customHeight="1" x14ac:dyDescent="0.2">
      <c r="A54" s="244">
        <v>48</v>
      </c>
      <c r="B54" s="303" t="s">
        <v>503</v>
      </c>
      <c r="C54" s="39">
        <v>0</v>
      </c>
      <c r="D54" s="39">
        <v>0</v>
      </c>
      <c r="E54" s="39">
        <f t="shared" si="5"/>
        <v>0</v>
      </c>
      <c r="F54" s="455"/>
    </row>
    <row r="55" spans="1:9" ht="14.1" customHeight="1" x14ac:dyDescent="0.2">
      <c r="A55" s="243">
        <v>49</v>
      </c>
      <c r="B55" s="306" t="s">
        <v>1667</v>
      </c>
      <c r="C55" s="40">
        <v>9755766675.73209</v>
      </c>
      <c r="D55" s="40">
        <f>D52+D53-D54</f>
        <v>9308279118.64884</v>
      </c>
      <c r="E55" s="39">
        <f t="shared" si="5"/>
        <v>-447487557.08325005</v>
      </c>
      <c r="F55" s="455">
        <f t="shared" si="1"/>
        <v>-4.5869030283021792E-2</v>
      </c>
    </row>
    <row r="56" spans="1:9" ht="14.1" customHeight="1" x14ac:dyDescent="0.2">
      <c r="A56" s="244">
        <v>50</v>
      </c>
      <c r="B56" s="380" t="s">
        <v>612</v>
      </c>
      <c r="C56" s="381">
        <v>244759856.19174385</v>
      </c>
      <c r="D56" s="381">
        <f>D55-D51</f>
        <v>247684500.03838348</v>
      </c>
      <c r="E56" s="39">
        <f t="shared" si="5"/>
        <v>2924643.8466396332</v>
      </c>
      <c r="F56" s="455">
        <f t="shared" si="1"/>
        <v>1.1949034012948919E-2</v>
      </c>
    </row>
    <row r="57" spans="1:9" ht="14.1" customHeight="1" x14ac:dyDescent="0.2">
      <c r="A57" s="243">
        <v>51</v>
      </c>
      <c r="B57" s="382" t="s">
        <v>1668</v>
      </c>
      <c r="C57" s="768">
        <v>2.5088736162642662</v>
      </c>
      <c r="D57" s="768">
        <f>D56/D55*100</f>
        <v>2.6609053819857582</v>
      </c>
      <c r="E57" s="383"/>
      <c r="F57" s="762"/>
    </row>
    <row r="58" spans="1:9" x14ac:dyDescent="0.2">
      <c r="C58" s="11"/>
      <c r="D58" s="11"/>
      <c r="F58" s="11"/>
    </row>
    <row r="59" spans="1:9" x14ac:dyDescent="0.2">
      <c r="C59" s="11"/>
      <c r="D59" s="11"/>
      <c r="F59" s="11"/>
    </row>
    <row r="60" spans="1:9" x14ac:dyDescent="0.2">
      <c r="C60" s="11"/>
      <c r="D60" s="11"/>
      <c r="E60" s="11" t="s">
        <v>584</v>
      </c>
    </row>
    <row r="61" spans="1:9" x14ac:dyDescent="0.2">
      <c r="F61" t="s">
        <v>621</v>
      </c>
    </row>
  </sheetData>
  <mergeCells count="6">
    <mergeCell ref="A1:F2"/>
    <mergeCell ref="A3:A5"/>
    <mergeCell ref="B3:B5"/>
    <mergeCell ref="E3:E5"/>
    <mergeCell ref="F3:F4"/>
    <mergeCell ref="C3:D4"/>
  </mergeCells>
  <pageMargins left="0.98425196850393704" right="0.59055118110236204" top="0.74803149606299202" bottom="0.74803149606299202" header="0.31496062992126" footer="0.31496062992126"/>
  <pageSetup scale="89" firstPageNumber="47" orientation="portrait" useFirstPageNumber="1" r:id="rId1"/>
  <headerFooter>
    <oddFooter>&amp;RPage &amp;[47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J63"/>
  <sheetViews>
    <sheetView tabSelected="1" view="pageBreakPreview" topLeftCell="A7" zoomScaleSheetLayoutView="100" workbookViewId="0">
      <selection activeCell="G5" sqref="G5"/>
    </sheetView>
  </sheetViews>
  <sheetFormatPr defaultRowHeight="12.75" x14ac:dyDescent="0.2"/>
  <cols>
    <col min="1" max="1" width="4.28515625" customWidth="1"/>
    <col min="2" max="2" width="83.85546875" customWidth="1"/>
    <col min="3" max="3" width="12.85546875" customWidth="1"/>
    <col min="4" max="4" width="11.5703125" customWidth="1"/>
    <col min="5" max="5" width="10" bestFit="1" customWidth="1"/>
    <col min="6" max="6" width="12.5703125" bestFit="1" customWidth="1"/>
    <col min="7" max="7" width="11.7109375" customWidth="1"/>
    <col min="9" max="9" width="12.42578125" customWidth="1"/>
    <col min="10" max="10" width="11" customWidth="1"/>
  </cols>
  <sheetData>
    <row r="1" spans="1:10" ht="18.75" x14ac:dyDescent="0.2">
      <c r="A1" s="1479" t="s">
        <v>517</v>
      </c>
      <c r="B1" s="1479"/>
      <c r="C1" s="1480" t="s">
        <v>1662</v>
      </c>
      <c r="D1" s="1480"/>
    </row>
    <row r="2" spans="1:10" ht="36" customHeight="1" x14ac:dyDescent="0.2">
      <c r="A2" s="342" t="s">
        <v>399</v>
      </c>
      <c r="B2" s="343" t="s">
        <v>518</v>
      </c>
      <c r="C2" s="344" t="s">
        <v>519</v>
      </c>
      <c r="D2" s="343" t="s">
        <v>411</v>
      </c>
      <c r="E2" t="s">
        <v>586</v>
      </c>
    </row>
    <row r="3" spans="1:10" ht="20.25" customHeight="1" x14ac:dyDescent="0.2">
      <c r="A3" s="345">
        <v>1</v>
      </c>
      <c r="B3" s="1481" t="s">
        <v>520</v>
      </c>
      <c r="C3" s="1481"/>
      <c r="D3" s="1481"/>
    </row>
    <row r="4" spans="1:10" ht="21" customHeight="1" x14ac:dyDescent="0.2">
      <c r="A4" s="346">
        <v>2</v>
      </c>
      <c r="B4" s="347" t="str">
        <f>Comparison!B52</f>
        <v>Net Generation (Public+Private)</v>
      </c>
      <c r="C4" s="766">
        <f>Comparison!D52</f>
        <v>8669771365.9215679</v>
      </c>
      <c r="D4" s="763"/>
      <c r="F4" s="11"/>
      <c r="I4" s="11"/>
    </row>
    <row r="5" spans="1:10" ht="21" customHeight="1" x14ac:dyDescent="0.25">
      <c r="A5" s="348">
        <v>3</v>
      </c>
      <c r="B5" s="349" t="str">
        <f>Comparison!B53</f>
        <v>Cross Border Import</v>
      </c>
      <c r="C5" s="350">
        <f>Comparison!D53</f>
        <v>638507752.72727168</v>
      </c>
      <c r="D5" s="351"/>
      <c r="E5" s="309"/>
      <c r="F5" s="310"/>
      <c r="G5" s="311"/>
      <c r="H5" s="311"/>
      <c r="I5" s="312"/>
      <c r="J5" s="313"/>
    </row>
    <row r="6" spans="1:10" ht="21" customHeight="1" x14ac:dyDescent="0.25">
      <c r="A6" s="348">
        <v>5</v>
      </c>
      <c r="B6" s="352" t="s">
        <v>521</v>
      </c>
      <c r="C6" s="812">
        <f>SUM(C4:C5)</f>
        <v>9308279118.64884</v>
      </c>
      <c r="D6" s="353"/>
      <c r="E6" s="309"/>
      <c r="F6" s="309"/>
      <c r="G6" s="311"/>
      <c r="H6" s="311"/>
      <c r="I6" s="312"/>
      <c r="J6" s="313"/>
    </row>
    <row r="7" spans="1:10" ht="19.5" customHeight="1" x14ac:dyDescent="0.25">
      <c r="A7" s="348">
        <v>6</v>
      </c>
      <c r="B7" s="1482" t="s">
        <v>522</v>
      </c>
      <c r="C7" s="1482"/>
      <c r="D7" s="1483"/>
      <c r="E7" s="309"/>
      <c r="F7" s="309"/>
      <c r="G7" s="311"/>
      <c r="H7" s="311"/>
      <c r="I7" s="312"/>
      <c r="J7" s="313"/>
    </row>
    <row r="8" spans="1:10" ht="21" customHeight="1" x14ac:dyDescent="0.25">
      <c r="A8" s="348">
        <v>7</v>
      </c>
      <c r="B8" s="349" t="s">
        <v>523</v>
      </c>
      <c r="C8" s="373">
        <f>Comparison!D11</f>
        <v>277742112</v>
      </c>
      <c r="D8" s="353"/>
      <c r="E8" s="310" t="s">
        <v>597</v>
      </c>
      <c r="F8" s="315"/>
      <c r="G8" s="311"/>
      <c r="H8" s="311"/>
      <c r="I8" s="312"/>
      <c r="J8" s="313"/>
    </row>
    <row r="9" spans="1:10" ht="21" customHeight="1" x14ac:dyDescent="0.25">
      <c r="A9" s="348">
        <v>8</v>
      </c>
      <c r="B9" s="349" t="s">
        <v>524</v>
      </c>
      <c r="C9" s="373">
        <f>Comparison!D14</f>
        <v>125004929</v>
      </c>
      <c r="D9" s="353"/>
      <c r="E9" s="309"/>
      <c r="F9" s="315"/>
      <c r="G9" s="311"/>
      <c r="H9" s="311"/>
      <c r="I9" s="312"/>
      <c r="J9" s="313"/>
    </row>
    <row r="10" spans="1:10" ht="21" customHeight="1" x14ac:dyDescent="0.25">
      <c r="A10" s="348">
        <v>9</v>
      </c>
      <c r="B10" s="349" t="s">
        <v>525</v>
      </c>
      <c r="C10" s="373">
        <f>Comparison!D17</f>
        <v>209581684</v>
      </c>
      <c r="D10" s="353"/>
      <c r="E10" s="309"/>
      <c r="F10" s="315"/>
      <c r="G10" s="311"/>
      <c r="H10" s="311"/>
      <c r="I10" s="312"/>
      <c r="J10" s="313"/>
    </row>
    <row r="11" spans="1:10" ht="21" customHeight="1" x14ac:dyDescent="0.25">
      <c r="A11" s="348">
        <v>10</v>
      </c>
      <c r="B11" s="349" t="s">
        <v>526</v>
      </c>
      <c r="C11" s="519">
        <f>Comparison!D24</f>
        <v>448293825</v>
      </c>
      <c r="D11" s="353"/>
      <c r="E11" s="309"/>
      <c r="F11" s="315"/>
      <c r="G11" s="311"/>
      <c r="H11" s="311"/>
      <c r="I11" s="312"/>
      <c r="J11" s="313"/>
    </row>
    <row r="12" spans="1:10" ht="21" customHeight="1" x14ac:dyDescent="0.25">
      <c r="A12" s="348">
        <v>11</v>
      </c>
      <c r="B12" s="349" t="s">
        <v>536</v>
      </c>
      <c r="C12" s="688">
        <f>Comparison!D26</f>
        <v>220445748.64626628</v>
      </c>
      <c r="D12" s="353"/>
      <c r="E12" s="309"/>
      <c r="F12" s="315"/>
      <c r="G12" s="311"/>
      <c r="H12" s="311"/>
      <c r="I12" s="312"/>
      <c r="J12" s="313"/>
    </row>
    <row r="13" spans="1:10" ht="21" customHeight="1" x14ac:dyDescent="0.25">
      <c r="A13" s="348">
        <v>12</v>
      </c>
      <c r="B13" s="349" t="s">
        <v>527</v>
      </c>
      <c r="C13" s="354">
        <f>Comparison!D28</f>
        <v>948997017.7094475</v>
      </c>
      <c r="D13" s="353"/>
      <c r="E13" s="309"/>
      <c r="F13" s="315"/>
      <c r="G13" s="311"/>
      <c r="H13" s="311"/>
      <c r="I13" s="312"/>
      <c r="J13" s="313"/>
    </row>
    <row r="14" spans="1:10" ht="21" customHeight="1" x14ac:dyDescent="0.25">
      <c r="A14" s="348">
        <v>13</v>
      </c>
      <c r="B14" s="349" t="s">
        <v>528</v>
      </c>
      <c r="C14" s="355">
        <f>Comparison!D29</f>
        <v>672590792.27805817</v>
      </c>
      <c r="D14" s="351"/>
      <c r="E14" s="309"/>
      <c r="F14" s="315"/>
      <c r="G14" s="311"/>
      <c r="H14" s="311"/>
      <c r="I14" s="312"/>
      <c r="J14" s="313"/>
    </row>
    <row r="15" spans="1:10" ht="21" customHeight="1" x14ac:dyDescent="0.25">
      <c r="A15" s="348">
        <v>14</v>
      </c>
      <c r="B15" s="349" t="s">
        <v>529</v>
      </c>
      <c r="C15" s="356">
        <f>Comparison!D30</f>
        <v>416348143</v>
      </c>
      <c r="D15" s="351"/>
      <c r="E15" s="309"/>
      <c r="F15" s="315"/>
      <c r="G15" s="311"/>
      <c r="H15" s="311"/>
      <c r="I15" s="312"/>
      <c r="J15" s="313"/>
    </row>
    <row r="16" spans="1:10" ht="21" customHeight="1" x14ac:dyDescent="0.25">
      <c r="A16" s="348">
        <v>15</v>
      </c>
      <c r="B16" s="349" t="s">
        <v>622</v>
      </c>
      <c r="C16" s="356">
        <f>Comparison!D33</f>
        <v>501761025</v>
      </c>
      <c r="D16" s="351"/>
      <c r="E16" s="309"/>
      <c r="F16" s="315"/>
      <c r="G16" s="311"/>
      <c r="H16" s="311"/>
      <c r="I16" s="312"/>
      <c r="J16" s="313"/>
    </row>
    <row r="17" spans="1:10" ht="21" customHeight="1" x14ac:dyDescent="0.25">
      <c r="A17" s="348">
        <v>16</v>
      </c>
      <c r="B17" s="349" t="s">
        <v>1661</v>
      </c>
      <c r="C17" s="356">
        <f>Comparison!D27</f>
        <v>5018181.82</v>
      </c>
      <c r="D17" s="351"/>
      <c r="E17" s="309"/>
      <c r="F17" s="315"/>
      <c r="G17" s="311"/>
      <c r="H17" s="311"/>
      <c r="I17" s="312"/>
      <c r="J17" s="313"/>
    </row>
    <row r="18" spans="1:10" ht="21" customHeight="1" x14ac:dyDescent="0.25">
      <c r="A18" s="348">
        <v>17</v>
      </c>
      <c r="B18" s="349" t="s">
        <v>1531</v>
      </c>
      <c r="C18" s="356">
        <f>Comparison!D50+Comparison!D36+Comparison!D34+Comparison!D31</f>
        <v>5234811160.1566849</v>
      </c>
      <c r="D18" s="353"/>
      <c r="E18" s="309"/>
      <c r="F18" s="315"/>
      <c r="G18" s="311"/>
      <c r="H18" s="311"/>
      <c r="I18" s="312"/>
      <c r="J18" s="313"/>
    </row>
    <row r="19" spans="1:10" ht="21" customHeight="1" x14ac:dyDescent="0.25">
      <c r="A19" s="348">
        <v>18</v>
      </c>
      <c r="B19" s="357" t="s">
        <v>530</v>
      </c>
      <c r="C19" s="374">
        <f>C8+C9+C10+C11+C12+C13+C14+C15+C16+C18+C17</f>
        <v>9060594618.6104565</v>
      </c>
      <c r="D19" s="353"/>
      <c r="E19" s="309"/>
      <c r="F19" s="315"/>
      <c r="G19" s="311"/>
      <c r="H19" s="311"/>
      <c r="I19" s="312"/>
      <c r="J19" s="313"/>
    </row>
    <row r="20" spans="1:10" ht="21" customHeight="1" x14ac:dyDescent="0.2">
      <c r="A20" s="348">
        <v>19</v>
      </c>
      <c r="B20" s="357" t="s">
        <v>531</v>
      </c>
      <c r="C20" s="374">
        <f>C6-C19</f>
        <v>247684500.03838348</v>
      </c>
      <c r="D20" s="358"/>
      <c r="E20" s="320"/>
      <c r="F20" s="315"/>
      <c r="G20" s="311"/>
      <c r="H20" s="321"/>
      <c r="I20" s="322"/>
      <c r="J20" s="321"/>
    </row>
    <row r="21" spans="1:10" ht="21" customHeight="1" x14ac:dyDescent="0.2">
      <c r="A21" s="348">
        <v>20</v>
      </c>
      <c r="B21" s="392" t="s">
        <v>532</v>
      </c>
      <c r="C21" s="391">
        <f>C20/C6</f>
        <v>2.6609053819857582E-2</v>
      </c>
      <c r="D21" s="359"/>
      <c r="E21" s="309"/>
      <c r="F21" s="310"/>
      <c r="G21" s="311"/>
      <c r="H21" s="311"/>
      <c r="I21" s="322"/>
      <c r="J21" s="321"/>
    </row>
    <row r="22" spans="1:10" ht="15" x14ac:dyDescent="0.2">
      <c r="A22" s="340"/>
      <c r="B22" s="308"/>
      <c r="C22" s="323"/>
      <c r="D22" s="315"/>
      <c r="E22" s="309"/>
      <c r="F22" s="310"/>
      <c r="G22" s="311"/>
      <c r="H22" s="311"/>
      <c r="I22" s="322"/>
      <c r="J22" s="321"/>
    </row>
    <row r="23" spans="1:10" ht="15" x14ac:dyDescent="0.2">
      <c r="A23" s="340"/>
      <c r="B23" s="308"/>
      <c r="C23" s="1076"/>
      <c r="D23" s="315"/>
      <c r="E23" s="309"/>
      <c r="F23" s="307"/>
      <c r="G23" s="311"/>
      <c r="H23" s="311"/>
      <c r="I23" s="322"/>
      <c r="J23" s="321"/>
    </row>
    <row r="24" spans="1:10" ht="15" x14ac:dyDescent="0.2">
      <c r="A24" s="340"/>
      <c r="B24" s="308"/>
      <c r="C24" s="1077">
        <f>C18-Comparison!D50</f>
        <v>3750422686</v>
      </c>
      <c r="D24" s="315"/>
      <c r="E24" s="309"/>
      <c r="F24" s="307"/>
      <c r="G24" s="311"/>
      <c r="H24" s="311"/>
      <c r="I24" s="322"/>
      <c r="J24" s="321"/>
    </row>
    <row r="25" spans="1:10" ht="15" x14ac:dyDescent="0.2">
      <c r="A25" s="340"/>
      <c r="B25" s="308"/>
      <c r="C25" s="1076">
        <f>C24*5.8925</f>
        <v>22099365677.255001</v>
      </c>
      <c r="D25" s="315"/>
      <c r="E25" s="309"/>
      <c r="F25" s="315"/>
      <c r="G25" s="311"/>
      <c r="H25" s="311"/>
      <c r="I25" s="322"/>
      <c r="J25" s="321"/>
    </row>
    <row r="26" spans="1:10" ht="15" x14ac:dyDescent="0.2">
      <c r="A26" s="340"/>
      <c r="B26" s="308"/>
      <c r="C26" s="1077">
        <f>Comparison!D50</f>
        <v>1484388474.1566846</v>
      </c>
      <c r="D26" s="315"/>
      <c r="E26" s="309"/>
      <c r="F26" s="315"/>
      <c r="G26" s="311"/>
      <c r="H26" s="311"/>
      <c r="I26" s="322"/>
      <c r="J26" s="321"/>
    </row>
    <row r="27" spans="1:10" ht="15" x14ac:dyDescent="0.2">
      <c r="A27" s="340"/>
      <c r="B27" s="308"/>
      <c r="C27" s="1076">
        <f>C26*5.8925</f>
        <v>8746759083.9682636</v>
      </c>
      <c r="D27" s="315"/>
      <c r="E27" s="309"/>
      <c r="F27" s="315"/>
      <c r="G27" s="311"/>
      <c r="H27" s="311"/>
      <c r="I27" s="322"/>
      <c r="J27" s="321"/>
    </row>
    <row r="28" spans="1:10" ht="15" x14ac:dyDescent="0.2">
      <c r="A28" s="340"/>
      <c r="B28" s="308"/>
      <c r="C28" s="1076">
        <f>C27+C25</f>
        <v>30846124761.223267</v>
      </c>
      <c r="D28" s="315"/>
      <c r="E28" s="309"/>
      <c r="F28" s="309"/>
      <c r="G28" s="311"/>
      <c r="H28" s="311"/>
      <c r="I28" s="322"/>
      <c r="J28" s="321"/>
    </row>
    <row r="29" spans="1:10" ht="15" x14ac:dyDescent="0.2">
      <c r="A29" s="340"/>
      <c r="B29" s="308"/>
      <c r="C29" s="1076" t="s">
        <v>1514</v>
      </c>
      <c r="D29" s="309"/>
      <c r="E29" s="310"/>
      <c r="F29" s="310"/>
      <c r="G29" s="311"/>
      <c r="H29" s="311"/>
      <c r="I29" s="322"/>
      <c r="J29" s="321"/>
    </row>
    <row r="30" spans="1:10" ht="15" x14ac:dyDescent="0.2">
      <c r="A30" s="340"/>
      <c r="B30" s="308"/>
      <c r="C30" s="360"/>
      <c r="D30" s="361"/>
      <c r="E30" s="310"/>
      <c r="F30" s="310"/>
      <c r="G30" s="311"/>
      <c r="H30" s="311"/>
      <c r="I30" s="322"/>
      <c r="J30" s="321"/>
    </row>
    <row r="31" spans="1:10" ht="15.75" x14ac:dyDescent="0.25">
      <c r="A31" s="340"/>
      <c r="B31" s="308"/>
      <c r="C31" s="1484" t="s">
        <v>533</v>
      </c>
      <c r="D31" s="1484"/>
      <c r="E31" s="310"/>
      <c r="F31" s="310"/>
      <c r="G31" s="311"/>
      <c r="H31" s="311"/>
      <c r="I31" s="322"/>
      <c r="J31" s="321"/>
    </row>
    <row r="32" spans="1:10" ht="15" x14ac:dyDescent="0.2">
      <c r="A32" s="340"/>
      <c r="B32" s="308"/>
      <c r="C32" s="1485" t="s">
        <v>534</v>
      </c>
      <c r="D32" s="1485"/>
      <c r="E32" s="310"/>
      <c r="F32" s="310"/>
      <c r="G32" s="311"/>
      <c r="H32" s="311"/>
      <c r="I32" s="322"/>
      <c r="J32" s="321"/>
    </row>
    <row r="33" spans="1:10" ht="15" x14ac:dyDescent="0.2">
      <c r="A33" s="340"/>
      <c r="B33" s="308"/>
      <c r="C33" s="324"/>
      <c r="D33" s="309"/>
      <c r="E33" s="310"/>
      <c r="F33" s="310"/>
      <c r="G33" s="311"/>
      <c r="H33" s="311"/>
      <c r="I33" s="322"/>
      <c r="J33" s="321"/>
    </row>
    <row r="34" spans="1:10" ht="15" x14ac:dyDescent="0.2">
      <c r="A34" s="340"/>
      <c r="B34" s="308"/>
      <c r="C34" s="314"/>
      <c r="D34" s="309"/>
      <c r="E34" s="310"/>
      <c r="F34" s="310"/>
      <c r="G34" s="311"/>
      <c r="H34" s="311"/>
      <c r="I34" s="322"/>
      <c r="J34" s="321"/>
    </row>
    <row r="35" spans="1:10" ht="15" x14ac:dyDescent="0.2">
      <c r="A35" s="340"/>
      <c r="B35" s="308"/>
      <c r="C35" s="314"/>
      <c r="D35" s="309"/>
      <c r="E35" s="310"/>
      <c r="F35" s="310"/>
      <c r="G35" s="311"/>
      <c r="H35" s="311"/>
      <c r="I35" s="322"/>
      <c r="J35" s="321"/>
    </row>
    <row r="36" spans="1:10" ht="15" x14ac:dyDescent="0.2">
      <c r="A36" s="340"/>
      <c r="B36" s="308"/>
      <c r="C36" s="314"/>
      <c r="D36" s="309"/>
      <c r="E36" s="310"/>
      <c r="F36" s="310"/>
      <c r="G36" s="311"/>
      <c r="H36" s="311"/>
      <c r="I36" s="322"/>
      <c r="J36" s="321"/>
    </row>
    <row r="37" spans="1:10" ht="15" x14ac:dyDescent="0.2">
      <c r="A37" s="340"/>
      <c r="B37" s="308"/>
      <c r="C37" s="314"/>
      <c r="D37" s="309"/>
      <c r="E37" s="310"/>
      <c r="F37" s="310"/>
      <c r="G37" s="311"/>
      <c r="H37" s="311"/>
      <c r="I37" s="322"/>
      <c r="J37" s="321"/>
    </row>
    <row r="38" spans="1:10" ht="15" x14ac:dyDescent="0.2">
      <c r="A38" s="340"/>
      <c r="B38" s="308"/>
      <c r="C38" s="325"/>
      <c r="D38" s="309"/>
      <c r="E38" s="309"/>
      <c r="F38" s="309"/>
      <c r="G38" s="311"/>
      <c r="H38" s="311"/>
      <c r="I38" s="322"/>
      <c r="J38" s="321"/>
    </row>
    <row r="39" spans="1:10" ht="15" x14ac:dyDescent="0.2">
      <c r="A39" s="340"/>
      <c r="B39" s="308"/>
      <c r="C39" s="326"/>
      <c r="D39" s="309"/>
      <c r="E39" s="310"/>
      <c r="F39" s="310"/>
      <c r="G39" s="311"/>
      <c r="H39" s="311"/>
      <c r="I39" s="322"/>
      <c r="J39" s="321"/>
    </row>
    <row r="40" spans="1:10" ht="15" x14ac:dyDescent="0.2">
      <c r="A40" s="340"/>
      <c r="B40" s="308"/>
      <c r="C40" s="326"/>
      <c r="D40" s="309"/>
      <c r="E40" s="310"/>
      <c r="F40" s="310"/>
      <c r="G40" s="311"/>
      <c r="H40" s="311"/>
      <c r="I40" s="322"/>
      <c r="J40" s="321"/>
    </row>
    <row r="41" spans="1:10" ht="15" x14ac:dyDescent="0.2">
      <c r="A41" s="340"/>
      <c r="B41" s="308"/>
      <c r="C41" s="326"/>
      <c r="D41" s="309"/>
      <c r="E41" s="310"/>
      <c r="F41" s="310"/>
      <c r="G41" s="311"/>
      <c r="H41" s="311"/>
      <c r="I41" s="322"/>
      <c r="J41" s="321"/>
    </row>
    <row r="42" spans="1:10" ht="15" x14ac:dyDescent="0.2">
      <c r="A42" s="340"/>
      <c r="B42" s="308"/>
      <c r="C42" s="327"/>
      <c r="D42" s="309"/>
      <c r="E42" s="309"/>
      <c r="F42" s="309"/>
      <c r="G42" s="311"/>
      <c r="H42" s="311"/>
      <c r="I42" s="322"/>
      <c r="J42" s="321"/>
    </row>
    <row r="43" spans="1:10" ht="15" x14ac:dyDescent="0.2">
      <c r="A43" s="340"/>
      <c r="B43" s="308"/>
      <c r="C43" s="326"/>
      <c r="D43" s="309"/>
      <c r="E43" s="310"/>
      <c r="F43" s="310"/>
      <c r="G43" s="311"/>
      <c r="H43" s="311"/>
      <c r="I43" s="322"/>
      <c r="J43" s="321"/>
    </row>
    <row r="44" spans="1:10" ht="15" x14ac:dyDescent="0.2">
      <c r="A44" s="340"/>
      <c r="B44" s="308"/>
      <c r="C44" s="326"/>
      <c r="D44" s="309"/>
      <c r="E44" s="310"/>
      <c r="F44" s="310"/>
      <c r="G44" s="311"/>
      <c r="H44" s="311"/>
      <c r="I44" s="322"/>
      <c r="J44" s="321"/>
    </row>
    <row r="45" spans="1:10" ht="15" x14ac:dyDescent="0.2">
      <c r="A45" s="340"/>
      <c r="B45" s="308"/>
      <c r="C45" s="328"/>
      <c r="D45" s="309"/>
      <c r="E45" s="310"/>
      <c r="F45" s="310"/>
      <c r="G45" s="311"/>
      <c r="H45" s="311"/>
      <c r="I45" s="322"/>
      <c r="J45" s="321"/>
    </row>
    <row r="46" spans="1:10" ht="15" x14ac:dyDescent="0.2">
      <c r="A46" s="340"/>
      <c r="B46" s="308"/>
      <c r="C46" s="329"/>
      <c r="D46" s="309"/>
      <c r="E46" s="310"/>
      <c r="F46" s="310"/>
      <c r="G46" s="311"/>
      <c r="H46" s="311"/>
      <c r="I46" s="322"/>
      <c r="J46" s="321"/>
    </row>
    <row r="47" spans="1:10" ht="15" x14ac:dyDescent="0.2">
      <c r="A47" s="340"/>
      <c r="B47" s="308"/>
      <c r="C47" s="329"/>
      <c r="D47" s="309"/>
      <c r="E47" s="310"/>
      <c r="F47" s="310"/>
      <c r="G47" s="311"/>
      <c r="H47" s="311"/>
      <c r="I47" s="322"/>
      <c r="J47" s="321"/>
    </row>
    <row r="48" spans="1:10" ht="15" x14ac:dyDescent="0.2">
      <c r="A48" s="340"/>
      <c r="B48" s="308"/>
      <c r="C48" s="330"/>
      <c r="D48" s="309"/>
      <c r="E48" s="309"/>
      <c r="F48" s="310"/>
      <c r="G48" s="311"/>
      <c r="H48" s="311"/>
      <c r="I48" s="322"/>
      <c r="J48" s="321"/>
    </row>
    <row r="49" spans="1:10" ht="15" x14ac:dyDescent="0.2">
      <c r="A49" s="340"/>
      <c r="B49" s="308"/>
      <c r="C49" s="331"/>
      <c r="D49" s="309"/>
      <c r="E49" s="310"/>
      <c r="F49" s="310"/>
      <c r="G49" s="312"/>
      <c r="H49" s="311"/>
      <c r="I49" s="322"/>
      <c r="J49" s="321"/>
    </row>
    <row r="50" spans="1:10" ht="15" x14ac:dyDescent="0.2">
      <c r="A50" s="340"/>
      <c r="B50" s="308"/>
      <c r="C50" s="317"/>
      <c r="D50" s="309"/>
      <c r="E50" s="315"/>
      <c r="F50" s="315"/>
      <c r="G50" s="311"/>
      <c r="H50" s="311"/>
      <c r="I50" s="322"/>
      <c r="J50" s="321"/>
    </row>
    <row r="51" spans="1:10" ht="15" x14ac:dyDescent="0.2">
      <c r="A51" s="340"/>
      <c r="B51" s="308"/>
      <c r="C51" s="332"/>
      <c r="D51" s="307"/>
      <c r="E51" s="309"/>
      <c r="F51" s="315"/>
      <c r="G51" s="311"/>
      <c r="H51" s="311"/>
      <c r="I51" s="322"/>
      <c r="J51" s="321"/>
    </row>
    <row r="52" spans="1:10" ht="15" x14ac:dyDescent="0.2">
      <c r="A52" s="340"/>
      <c r="B52" s="308"/>
      <c r="C52" s="316"/>
      <c r="D52" s="309"/>
      <c r="E52" s="309"/>
      <c r="F52" s="309"/>
      <c r="G52" s="311"/>
      <c r="H52" s="311"/>
      <c r="I52" s="333"/>
      <c r="J52" s="334"/>
    </row>
    <row r="53" spans="1:10" ht="15" x14ac:dyDescent="0.2">
      <c r="A53" s="340"/>
      <c r="B53" s="308"/>
      <c r="C53" s="316"/>
      <c r="D53" s="307"/>
      <c r="E53" s="309"/>
      <c r="F53" s="315"/>
      <c r="G53" s="311"/>
      <c r="H53" s="311"/>
      <c r="I53" s="322"/>
      <c r="J53" s="321"/>
    </row>
    <row r="54" spans="1:10" ht="15" x14ac:dyDescent="0.2">
      <c r="A54" s="340"/>
      <c r="B54" s="308"/>
      <c r="C54" s="316"/>
      <c r="D54" s="309"/>
      <c r="E54" s="309"/>
      <c r="F54" s="309"/>
      <c r="G54" s="311"/>
      <c r="H54" s="311"/>
      <c r="I54" s="322"/>
      <c r="J54" s="321"/>
    </row>
    <row r="55" spans="1:10" ht="15" x14ac:dyDescent="0.2">
      <c r="A55" s="340"/>
      <c r="B55" s="308"/>
      <c r="C55" s="335"/>
      <c r="D55" s="309"/>
      <c r="E55" s="309"/>
      <c r="F55" s="315"/>
      <c r="G55" s="311"/>
      <c r="H55" s="311"/>
      <c r="I55" s="322"/>
      <c r="J55" s="321"/>
    </row>
    <row r="56" spans="1:10" ht="15" x14ac:dyDescent="0.2">
      <c r="A56" s="340"/>
      <c r="B56" s="308"/>
      <c r="C56" s="335"/>
      <c r="D56" s="309"/>
      <c r="E56" s="309"/>
      <c r="F56" s="315"/>
      <c r="G56" s="311"/>
      <c r="H56" s="311"/>
      <c r="I56" s="322"/>
      <c r="J56" s="321"/>
    </row>
    <row r="57" spans="1:10" ht="15" x14ac:dyDescent="0.2">
      <c r="A57" s="340"/>
      <c r="B57" s="308"/>
      <c r="C57" s="318"/>
      <c r="D57" s="309"/>
      <c r="E57" s="309"/>
      <c r="F57" s="315"/>
      <c r="G57" s="311"/>
      <c r="H57" s="311"/>
      <c r="I57" s="322"/>
      <c r="J57" s="321"/>
    </row>
    <row r="58" spans="1:10" ht="15" x14ac:dyDescent="0.2">
      <c r="A58" s="340"/>
      <c r="B58" s="308"/>
      <c r="C58" s="319"/>
      <c r="D58" s="309"/>
      <c r="E58" s="309"/>
      <c r="F58" s="315"/>
      <c r="G58" s="311"/>
      <c r="H58" s="311"/>
      <c r="I58" s="322"/>
      <c r="J58" s="321"/>
    </row>
    <row r="59" spans="1:10" ht="15" x14ac:dyDescent="0.2">
      <c r="A59" s="340"/>
      <c r="B59" s="308"/>
      <c r="C59" s="319"/>
      <c r="D59" s="309"/>
      <c r="E59" s="309"/>
      <c r="F59" s="315"/>
      <c r="G59" s="311"/>
      <c r="H59" s="311"/>
      <c r="I59" s="322"/>
      <c r="J59" s="321"/>
    </row>
    <row r="60" spans="1:10" ht="15" x14ac:dyDescent="0.2">
      <c r="A60" s="340"/>
      <c r="B60" s="308"/>
      <c r="C60" s="319"/>
      <c r="D60" s="309"/>
      <c r="E60" s="309"/>
      <c r="F60" s="315"/>
      <c r="G60" s="311"/>
      <c r="H60" s="311"/>
      <c r="I60" s="336"/>
      <c r="J60" s="337"/>
    </row>
    <row r="61" spans="1:10" ht="14.25" x14ac:dyDescent="0.2">
      <c r="A61" s="340"/>
      <c r="B61" s="597"/>
      <c r="C61" s="598"/>
      <c r="D61" s="598"/>
      <c r="E61" s="598"/>
      <c r="F61" s="341"/>
      <c r="G61" s="341"/>
      <c r="H61" s="341"/>
      <c r="I61" s="338"/>
      <c r="J61" s="339"/>
    </row>
    <row r="62" spans="1:10" ht="14.25" x14ac:dyDescent="0.2">
      <c r="A62" s="250"/>
      <c r="B62" s="250"/>
      <c r="C62" s="250"/>
      <c r="D62" s="250"/>
      <c r="E62" s="250"/>
      <c r="F62" s="250"/>
      <c r="G62" s="250"/>
      <c r="H62" s="250"/>
      <c r="I62" s="251"/>
      <c r="J62" s="251"/>
    </row>
    <row r="63" spans="1:10" ht="16.5" x14ac:dyDescent="0.2">
      <c r="A63" s="281"/>
      <c r="B63" s="281"/>
      <c r="C63" s="1478"/>
      <c r="D63" s="1478"/>
      <c r="E63" s="281"/>
      <c r="F63" s="281"/>
      <c r="G63" s="281"/>
      <c r="H63" s="281"/>
      <c r="I63" s="289"/>
      <c r="J63" s="290"/>
    </row>
  </sheetData>
  <mergeCells count="7">
    <mergeCell ref="C63:D63"/>
    <mergeCell ref="A1:B1"/>
    <mergeCell ref="C1:D1"/>
    <mergeCell ref="B3:D3"/>
    <mergeCell ref="B7:D7"/>
    <mergeCell ref="C31:D31"/>
    <mergeCell ref="C32:D32"/>
  </mergeCells>
  <pageMargins left="0.98425196850393704" right="0.70866141732283505" top="0.74803149606299202" bottom="0.74803149606299202" header="0.31496062992126" footer="0.31496062992126"/>
  <pageSetup paperSize="9" scale="76" firstPageNumber="2" orientation="portrait" useFirstPageNumber="1" r:id="rId1"/>
  <headerFooter>
    <oddFooter>&amp;RPage &amp;P</oddFooter>
  </headerFooter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2:L233"/>
  <sheetViews>
    <sheetView view="pageBreakPreview" topLeftCell="A214" zoomScaleNormal="100" zoomScaleSheetLayoutView="100" workbookViewId="0">
      <selection activeCell="F215" sqref="F215"/>
    </sheetView>
  </sheetViews>
  <sheetFormatPr defaultRowHeight="12.75" x14ac:dyDescent="0.2"/>
  <cols>
    <col min="1" max="1" width="3.28515625" bestFit="1" customWidth="1"/>
    <col min="2" max="2" width="6.140625" bestFit="1" customWidth="1"/>
    <col min="3" max="3" width="46.85546875" customWidth="1"/>
    <col min="4" max="4" width="16.85546875" bestFit="1" customWidth="1"/>
    <col min="5" max="5" width="11.28515625" bestFit="1" customWidth="1"/>
    <col min="6" max="6" width="24.85546875" customWidth="1"/>
    <col min="7" max="7" width="21.28515625" bestFit="1" customWidth="1"/>
    <col min="8" max="8" width="10.140625" bestFit="1" customWidth="1"/>
    <col min="9" max="9" width="12" bestFit="1" customWidth="1"/>
    <col min="10" max="10" width="11" bestFit="1" customWidth="1"/>
    <col min="12" max="12" width="11" bestFit="1" customWidth="1"/>
  </cols>
  <sheetData>
    <row r="2" spans="1:10" x14ac:dyDescent="0.2">
      <c r="A2" s="749"/>
      <c r="B2" s="749"/>
      <c r="C2" s="749"/>
      <c r="D2" s="1503" t="str">
        <f>Summary!C1</f>
        <v>Month: June/2025</v>
      </c>
      <c r="E2" s="1503"/>
      <c r="F2" s="1503"/>
      <c r="G2" s="1018">
        <f>'GMCO Generation'!I3</f>
        <v>45778</v>
      </c>
    </row>
    <row r="3" spans="1:10" ht="22.5" customHeight="1" x14ac:dyDescent="0.2">
      <c r="A3" s="748" t="s">
        <v>1284</v>
      </c>
      <c r="B3" s="748" t="s">
        <v>17</v>
      </c>
      <c r="C3" s="748" t="s">
        <v>1282</v>
      </c>
      <c r="D3" s="748" t="s">
        <v>8</v>
      </c>
      <c r="E3" s="748" t="s">
        <v>745</v>
      </c>
      <c r="F3" s="1026" t="s">
        <v>1283</v>
      </c>
      <c r="G3" s="1019" t="s">
        <v>7</v>
      </c>
    </row>
    <row r="4" spans="1:10" ht="12.75" customHeight="1" x14ac:dyDescent="0.2">
      <c r="A4" s="755">
        <v>1</v>
      </c>
      <c r="B4" s="1504" t="s">
        <v>5</v>
      </c>
      <c r="C4" s="753" t="str">
        <f>'GMCO Generation'!C120</f>
        <v>Meghnaghat 450 MW CCPP(MPL)</v>
      </c>
      <c r="D4" s="754">
        <f>'GMCO Generation'!F120</f>
        <v>265230636.00000086</v>
      </c>
      <c r="E4" s="754">
        <f>'GMCO Generation'!G120</f>
        <v>0</v>
      </c>
      <c r="F4" s="1027">
        <f>'GMCO Generation'!H120</f>
        <v>265230636.00000086</v>
      </c>
      <c r="G4" s="1147">
        <f>'GMCO Generation'!I120</f>
        <v>260255875.99999934</v>
      </c>
      <c r="H4" s="923">
        <f>(F4-G4)/G4</f>
        <v>1.9114880618493826E-2</v>
      </c>
      <c r="I4">
        <v>257750567.99999937</v>
      </c>
      <c r="J4" s="11">
        <f>F4-I4</f>
        <v>7480068.0000014901</v>
      </c>
    </row>
    <row r="5" spans="1:10" x14ac:dyDescent="0.2">
      <c r="A5" s="747">
        <v>2</v>
      </c>
      <c r="B5" s="1505"/>
      <c r="C5" s="750" t="str">
        <f>'GMCO Generation'!C119</f>
        <v xml:space="preserve">Haripur 360MW CCPP(HPL) </v>
      </c>
      <c r="D5" s="751">
        <f>'GMCO Generation'!F119</f>
        <v>0</v>
      </c>
      <c r="E5" s="751">
        <f>'GMCO Generation'!G119</f>
        <v>0</v>
      </c>
      <c r="F5" s="1028">
        <f>'GMCO Generation'!H119</f>
        <v>0</v>
      </c>
      <c r="G5" s="1021">
        <f>'GMCO Generation'!I119</f>
        <v>0</v>
      </c>
      <c r="H5" s="923" t="e">
        <f t="shared" ref="H5:H72" si="0">(F5-G5)/G5</f>
        <v>#DIV/0!</v>
      </c>
      <c r="I5">
        <v>-360829.99999999994</v>
      </c>
      <c r="J5" s="11">
        <f t="shared" ref="J5:J43" si="1">F5-I5</f>
        <v>360829.99999999994</v>
      </c>
    </row>
    <row r="6" spans="1:10" x14ac:dyDescent="0.2">
      <c r="A6" s="755">
        <v>3</v>
      </c>
      <c r="B6" s="1505"/>
      <c r="C6" s="750" t="str">
        <f>'GMCO Generation'!C132</f>
        <v xml:space="preserve">NEPC Consortium Power Ltd.                                                     </v>
      </c>
      <c r="D6" s="751">
        <f>'GMCO Generation'!F132</f>
        <v>0</v>
      </c>
      <c r="E6" s="751">
        <f>'GMCO Generation'!G132</f>
        <v>0</v>
      </c>
      <c r="F6" s="1028">
        <f>'GMCO Generation'!H132</f>
        <v>0</v>
      </c>
      <c r="G6" s="1021">
        <f>'GMCO Generation'!I132</f>
        <v>0</v>
      </c>
      <c r="H6" s="923" t="e">
        <f t="shared" si="0"/>
        <v>#DIV/0!</v>
      </c>
      <c r="I6">
        <v>-2700.0000000007276</v>
      </c>
      <c r="J6" s="11">
        <f t="shared" si="1"/>
        <v>2700.0000000007276</v>
      </c>
    </row>
    <row r="7" spans="1:10" x14ac:dyDescent="0.2">
      <c r="A7" s="747">
        <v>4</v>
      </c>
      <c r="B7" s="1505"/>
      <c r="C7" s="750" t="str">
        <f>'GMCO Generation'!C99</f>
        <v xml:space="preserve">Siddirganj 335MW CCPP EGCB Ltd.         </v>
      </c>
      <c r="D7" s="751">
        <f>'GMCO Generation'!F99</f>
        <v>158857270.00111592</v>
      </c>
      <c r="E7" s="751">
        <f>'GMCO Generation'!G99</f>
        <v>374294.82580120955</v>
      </c>
      <c r="F7" s="1028">
        <f>'GMCO Generation'!H99</f>
        <v>158482975.17531469</v>
      </c>
      <c r="G7" s="1021">
        <f>'GMCO Generation'!I99</f>
        <v>199091423.38884744</v>
      </c>
      <c r="H7" s="923">
        <f t="shared" si="0"/>
        <v>-0.20396884768973689</v>
      </c>
      <c r="I7">
        <v>158513329.1142109</v>
      </c>
      <c r="J7" s="11">
        <f t="shared" si="1"/>
        <v>-30353.938896209002</v>
      </c>
    </row>
    <row r="8" spans="1:10" x14ac:dyDescent="0.2">
      <c r="A8" s="755">
        <v>5</v>
      </c>
      <c r="B8" s="1505"/>
      <c r="C8" s="750" t="str">
        <f>'GMCO Generation'!C224</f>
        <v>Madanganj 102 PP(Summit)</v>
      </c>
      <c r="D8" s="751">
        <f>'GMCO Generation'!F224</f>
        <v>0</v>
      </c>
      <c r="E8" s="751">
        <f>'GMCO Generation'!G224</f>
        <v>0</v>
      </c>
      <c r="F8" s="1028">
        <f>'GMCO Generation'!H224</f>
        <v>0</v>
      </c>
      <c r="G8" s="1021">
        <f>'GMCO Generation'!I224</f>
        <v>0</v>
      </c>
      <c r="H8" s="923" t="e">
        <f t="shared" si="0"/>
        <v>#DIV/0!</v>
      </c>
      <c r="I8">
        <v>31303761.914879959</v>
      </c>
      <c r="J8" s="11">
        <f t="shared" si="1"/>
        <v>-31303761.914879959</v>
      </c>
    </row>
    <row r="9" spans="1:10" x14ac:dyDescent="0.2">
      <c r="A9" s="747">
        <v>6</v>
      </c>
      <c r="B9" s="1505"/>
      <c r="C9" s="750" t="str">
        <f>'GMCO Generation'!C226</f>
        <v>Siddhirganj 100 PP(Dutch Bangla)</v>
      </c>
      <c r="D9" s="751">
        <f>'GMCO Generation'!F226</f>
        <v>0</v>
      </c>
      <c r="E9" s="751">
        <f>'GMCO Generation'!G226</f>
        <v>47865.599999999802</v>
      </c>
      <c r="F9" s="1028">
        <f>'GMCO Generation'!H226</f>
        <v>-47865.599999999802</v>
      </c>
      <c r="G9" s="1021">
        <f>'GMCO Generation'!I226</f>
        <v>-52079.999999999702</v>
      </c>
      <c r="H9" s="923">
        <f t="shared" si="0"/>
        <v>-8.092165898617365E-2</v>
      </c>
      <c r="I9">
        <v>12846230.400000228</v>
      </c>
      <c r="J9" s="11">
        <f t="shared" si="1"/>
        <v>-12894096.000000227</v>
      </c>
    </row>
    <row r="10" spans="1:10" x14ac:dyDescent="0.2">
      <c r="A10" s="755">
        <v>7</v>
      </c>
      <c r="B10" s="1505"/>
      <c r="C10" s="750" t="str">
        <f>'GMCO Generation'!C225</f>
        <v>Meghnaghat 100 MW (IEL)</v>
      </c>
      <c r="D10" s="751">
        <f>'GMCO Generation'!F225</f>
        <v>0</v>
      </c>
      <c r="E10" s="751">
        <f>'GMCO Generation'!G225</f>
        <v>71232.000000000262</v>
      </c>
      <c r="F10" s="1028">
        <f>'GMCO Generation'!H225</f>
        <v>-71232.000000000262</v>
      </c>
      <c r="G10" s="1021">
        <f>'GMCO Generation'!I225</f>
        <v>-69023.999999999432</v>
      </c>
      <c r="H10" s="923">
        <f t="shared" si="0"/>
        <v>3.198887343533912E-2</v>
      </c>
      <c r="I10">
        <v>14562815.999999925</v>
      </c>
      <c r="J10" s="11">
        <f t="shared" si="1"/>
        <v>-14634047.999999925</v>
      </c>
    </row>
    <row r="11" spans="1:10" x14ac:dyDescent="0.2">
      <c r="A11" s="747">
        <v>8</v>
      </c>
      <c r="B11" s="1505"/>
      <c r="C11" s="750" t="str">
        <f>'GMCO Generation'!C199</f>
        <v>Ghorashal 78.5 MW PP(MAX)</v>
      </c>
      <c r="D11" s="751">
        <f>'GMCO Generation'!F199</f>
        <v>0</v>
      </c>
      <c r="E11" s="751">
        <f>'GMCO Generation'!G199</f>
        <v>0</v>
      </c>
      <c r="F11" s="1028">
        <f>'GMCO Generation'!H199</f>
        <v>0</v>
      </c>
      <c r="G11" s="1021">
        <f>'GMCO Generation'!I199</f>
        <v>0</v>
      </c>
      <c r="H11" s="923" t="e">
        <f t="shared" si="0"/>
        <v>#DIV/0!</v>
      </c>
      <c r="J11" s="11">
        <f t="shared" si="1"/>
        <v>0</v>
      </c>
    </row>
    <row r="12" spans="1:10" x14ac:dyDescent="0.2">
      <c r="A12" s="755">
        <v>9</v>
      </c>
      <c r="B12" s="1505"/>
      <c r="C12" s="750" t="str">
        <f>'GMCO Generation'!C229</f>
        <v>Keraniganj 100 MW PP (Powerpac)</v>
      </c>
      <c r="D12" s="751">
        <f>'GMCO Generation'!F229</f>
        <v>0</v>
      </c>
      <c r="E12" s="751">
        <f>'GMCO Generation'!G229</f>
        <v>42696.000000001957</v>
      </c>
      <c r="F12" s="1028">
        <f>'GMCO Generation'!H229</f>
        <v>-42696.000000001957</v>
      </c>
      <c r="G12" s="1021">
        <f>'GMCO Generation'!I229</f>
        <v>-47519.999999998392</v>
      </c>
      <c r="H12" s="923">
        <f t="shared" si="0"/>
        <v>-0.10151515151507992</v>
      </c>
      <c r="I12">
        <v>1371960.00000018</v>
      </c>
      <c r="J12" s="11">
        <f t="shared" si="1"/>
        <v>-1414656.0000001818</v>
      </c>
    </row>
    <row r="13" spans="1:10" x14ac:dyDescent="0.2">
      <c r="A13" s="747">
        <v>10</v>
      </c>
      <c r="B13" s="1505"/>
      <c r="C13" s="750" t="str">
        <f>'GMCO Generation'!C94</f>
        <v xml:space="preserve">Siddhirganj 2*120 MW GTPP, EGCB Ltd.  </v>
      </c>
      <c r="D13" s="751">
        <f>'GMCO Generation'!F94</f>
        <v>9805334.4000000134</v>
      </c>
      <c r="E13" s="751">
        <f>'GMCO Generation'!G94</f>
        <v>70713.59999999986</v>
      </c>
      <c r="F13" s="1028">
        <f>'GMCO Generation'!H94</f>
        <v>9734620.8000000138</v>
      </c>
      <c r="G13" s="1021">
        <f>'GMCO Generation'!I94</f>
        <v>1730582.3999999887</v>
      </c>
      <c r="H13" s="923">
        <f t="shared" si="0"/>
        <v>4.6250547792466143</v>
      </c>
      <c r="I13">
        <v>18883699.199999962</v>
      </c>
      <c r="J13" s="11">
        <f t="shared" si="1"/>
        <v>-9149078.3999999482</v>
      </c>
    </row>
    <row r="14" spans="1:10" x14ac:dyDescent="0.2">
      <c r="A14" s="755">
        <v>11</v>
      </c>
      <c r="B14" s="1505"/>
      <c r="C14" s="751" t="str">
        <f>'GMCO Generation'!C95</f>
        <v xml:space="preserve">Haripur 412 MW CCPP,EGCB Ltd.                </v>
      </c>
      <c r="D14" s="751">
        <f>'GMCO Generation'!F95</f>
        <v>258568668.00000188</v>
      </c>
      <c r="E14" s="751">
        <f>'GMCO Generation'!G95</f>
        <v>0</v>
      </c>
      <c r="F14" s="1028">
        <f>'GMCO Generation'!H95</f>
        <v>258568668.00000188</v>
      </c>
      <c r="G14" s="1021">
        <f>'GMCO Generation'!I95</f>
        <v>258203879.9999983</v>
      </c>
      <c r="H14" s="923">
        <f t="shared" si="0"/>
        <v>1.4127905436726151E-3</v>
      </c>
      <c r="I14">
        <v>266965992.00000006</v>
      </c>
      <c r="J14" s="11">
        <f t="shared" si="1"/>
        <v>-8397323.9999981821</v>
      </c>
    </row>
    <row r="15" spans="1:10" x14ac:dyDescent="0.2">
      <c r="A15" s="747">
        <v>12</v>
      </c>
      <c r="B15" s="1505"/>
      <c r="C15" s="750" t="str">
        <f>'GMCO Generation'!C103</f>
        <v>Gazipur 52 MW PP (RPCL)</v>
      </c>
      <c r="D15" s="751">
        <f>'GMCO Generation'!F103</f>
        <v>12115223.999999944</v>
      </c>
      <c r="E15" s="751">
        <f>'GMCO Generation'!G103</f>
        <v>15945.600000000013</v>
      </c>
      <c r="F15" s="1028">
        <f>'GMCO Generation'!H103</f>
        <v>12099278.399999944</v>
      </c>
      <c r="G15" s="1021">
        <f>'GMCO Generation'!I103</f>
        <v>12218241.60000008</v>
      </c>
      <c r="H15" s="923">
        <f t="shared" si="0"/>
        <v>-9.7365237891624649E-3</v>
      </c>
      <c r="I15">
        <v>4725047.9999999646</v>
      </c>
      <c r="J15" s="11">
        <f t="shared" si="1"/>
        <v>7374230.3999999799</v>
      </c>
    </row>
    <row r="16" spans="1:10" x14ac:dyDescent="0.2">
      <c r="A16" s="1195"/>
      <c r="B16" s="1505"/>
      <c r="C16" s="750" t="str">
        <f>'GMCO Generation'!C235</f>
        <v>B-R Powergen Ltd. Sreepur 150MW</v>
      </c>
      <c r="D16" s="751">
        <f>'GMCO Generation'!F235</f>
        <v>45431520</v>
      </c>
      <c r="E16" s="751">
        <f>'GMCO Generation'!G235</f>
        <v>31080.000000000007</v>
      </c>
      <c r="F16" s="1028">
        <f>'GMCO Generation'!H235</f>
        <v>45400440</v>
      </c>
      <c r="G16" s="1021">
        <f>'GMCO Generation'!I235</f>
        <v>51898080.000000007</v>
      </c>
      <c r="H16" s="923">
        <f t="shared" si="0"/>
        <v>-0.12520000739911777</v>
      </c>
      <c r="I16">
        <v>-106320.00000000001</v>
      </c>
      <c r="J16" s="11">
        <f t="shared" si="1"/>
        <v>45506760</v>
      </c>
    </row>
    <row r="17" spans="1:10" x14ac:dyDescent="0.2">
      <c r="A17" s="755">
        <v>13</v>
      </c>
      <c r="B17" s="1505"/>
      <c r="C17" s="750" t="str">
        <f>'GMCO Generation'!C106</f>
        <v>Gazipur 105 MW PP (RPCL)</v>
      </c>
      <c r="D17" s="751">
        <f>'GMCO Generation'!F106</f>
        <v>30359807.999999613</v>
      </c>
      <c r="E17" s="751">
        <f>'GMCO Generation'!G106</f>
        <v>28358.399999999903</v>
      </c>
      <c r="F17" s="1028">
        <f>'GMCO Generation'!H106</f>
        <v>30331449.599999614</v>
      </c>
      <c r="G17" s="1021">
        <f>'GMCO Generation'!I106</f>
        <v>25266960.000000022</v>
      </c>
      <c r="H17" s="923">
        <f t="shared" si="0"/>
        <v>0.20043921389829197</v>
      </c>
      <c r="I17">
        <v>19159699.20000007</v>
      </c>
      <c r="J17" s="11">
        <f t="shared" si="1"/>
        <v>11171750.399999544</v>
      </c>
    </row>
    <row r="18" spans="1:10" x14ac:dyDescent="0.2">
      <c r="A18" s="747">
        <v>14</v>
      </c>
      <c r="B18" s="1505"/>
      <c r="C18" s="750" t="str">
        <f>'GMCO Generation'!C126</f>
        <v>Meghnaghat CCPP(Summit) (335MW)</v>
      </c>
      <c r="D18" s="751">
        <f>'GMCO Generation'!F126</f>
        <v>156944623.27486032</v>
      </c>
      <c r="E18" s="751">
        <f>'GMCO Generation'!G126</f>
        <v>0</v>
      </c>
      <c r="F18" s="1028">
        <f>'GMCO Generation'!H126</f>
        <v>156944623.27486032</v>
      </c>
      <c r="G18" s="1021">
        <f>'GMCO Generation'!I126</f>
        <v>191157449.45714179</v>
      </c>
      <c r="H18" s="923">
        <f t="shared" si="0"/>
        <v>-0.17897720585538629</v>
      </c>
      <c r="I18">
        <v>139707586.91098917</v>
      </c>
      <c r="J18" s="11">
        <f t="shared" si="1"/>
        <v>17237036.363871157</v>
      </c>
    </row>
    <row r="19" spans="1:10" x14ac:dyDescent="0.2">
      <c r="A19" s="755">
        <v>15</v>
      </c>
      <c r="B19" s="1505"/>
      <c r="C19" s="750" t="str">
        <f>'GMCO Generation'!C134</f>
        <v>Gagnagar 102 MW PP (Digital Power )</v>
      </c>
      <c r="D19" s="751">
        <f>'GMCO Generation'!F134</f>
        <v>984380.39999999455</v>
      </c>
      <c r="E19" s="751">
        <f>'GMCO Generation'!G134</f>
        <v>114076.7999999999</v>
      </c>
      <c r="F19" s="1028">
        <f>'GMCO Generation'!H134</f>
        <v>870303.59999999462</v>
      </c>
      <c r="G19" s="1021">
        <f>'GMCO Generation'!I134</f>
        <v>5525823.5999999382</v>
      </c>
      <c r="H19" s="923">
        <f t="shared" si="0"/>
        <v>-0.84250246424804354</v>
      </c>
      <c r="I19">
        <v>13193150.400000002</v>
      </c>
      <c r="J19" s="11">
        <f t="shared" si="1"/>
        <v>-12322846.800000008</v>
      </c>
    </row>
    <row r="20" spans="1:10" x14ac:dyDescent="0.2">
      <c r="A20" s="747">
        <v>16</v>
      </c>
      <c r="B20" s="1505"/>
      <c r="C20" s="750" t="str">
        <f>'GMCO Generation'!C121</f>
        <v>Ghorashal 108MW PP (Regent)</v>
      </c>
      <c r="D20" s="751">
        <f>'GMCO Generation'!F121</f>
        <v>5639443.2063368456</v>
      </c>
      <c r="E20" s="751">
        <f>'GMCO Generation'!G121</f>
        <v>63276.136638750169</v>
      </c>
      <c r="F20" s="1028">
        <f>'GMCO Generation'!H121</f>
        <v>5576167.0696980953</v>
      </c>
      <c r="G20" s="1021">
        <f>'GMCO Generation'!I121</f>
        <v>-320902.27412249963</v>
      </c>
      <c r="H20" s="923">
        <f t="shared" si="0"/>
        <v>-18.376527121679036</v>
      </c>
      <c r="I20">
        <v>-133635.22785374962</v>
      </c>
      <c r="J20" s="11">
        <f t="shared" si="1"/>
        <v>5709802.2975518452</v>
      </c>
    </row>
    <row r="21" spans="1:10" x14ac:dyDescent="0.2">
      <c r="A21" s="755">
        <v>17</v>
      </c>
      <c r="B21" s="1505"/>
      <c r="C21" s="750" t="str">
        <f>'GMCO Generation'!C138</f>
        <v>Katpotti 52 MW PP (Sinha)</v>
      </c>
      <c r="D21" s="751">
        <f>'GMCO Generation'!F138</f>
        <v>0</v>
      </c>
      <c r="E21" s="751">
        <f>'GMCO Generation'!G138</f>
        <v>94511.999999999709</v>
      </c>
      <c r="F21" s="1028">
        <f>'GMCO Generation'!H138</f>
        <v>-94511.999999999709</v>
      </c>
      <c r="G21" s="1021">
        <f>'GMCO Generation'!I138</f>
        <v>-104639.99999999828</v>
      </c>
      <c r="H21" s="923">
        <f t="shared" si="0"/>
        <v>-9.6788990825676033E-2</v>
      </c>
      <c r="I21">
        <v>-123215.99999999933</v>
      </c>
      <c r="J21" s="11">
        <f t="shared" si="1"/>
        <v>28703.999999999622</v>
      </c>
    </row>
    <row r="22" spans="1:10" x14ac:dyDescent="0.2">
      <c r="A22" s="747">
        <v>18</v>
      </c>
      <c r="B22" s="1505"/>
      <c r="C22" s="750" t="str">
        <f>'GMCO Generation'!C105</f>
        <v>Kodda 150MW PP (BPDB-RPCL)</v>
      </c>
      <c r="D22" s="751">
        <f>'GMCO Generation'!F105</f>
        <v>39500505.599999741</v>
      </c>
      <c r="E22" s="751">
        <f>'GMCO Generation'!G105</f>
        <v>103291.20000000074</v>
      </c>
      <c r="F22" s="1028">
        <f>'GMCO Generation'!H105</f>
        <v>39397214.399999738</v>
      </c>
      <c r="G22" s="1021">
        <f>'GMCO Generation'!I105</f>
        <v>56365881.599999957</v>
      </c>
      <c r="H22" s="923">
        <f t="shared" si="0"/>
        <v>-0.30104500663039807</v>
      </c>
      <c r="I22">
        <v>39956668.800000377</v>
      </c>
      <c r="J22" s="11">
        <f t="shared" si="1"/>
        <v>-559454.40000063926</v>
      </c>
    </row>
    <row r="23" spans="1:10" x14ac:dyDescent="0.2">
      <c r="A23" s="755">
        <v>19</v>
      </c>
      <c r="B23" s="1505"/>
      <c r="C23" s="750" t="str">
        <f>'GMCO Generation'!C140</f>
        <v>Madanganj-55 MW PP(Summit)</v>
      </c>
      <c r="D23" s="751">
        <f>'GMCO Generation'!F140</f>
        <v>2433230.2963200007</v>
      </c>
      <c r="E23" s="751">
        <f>'GMCO Generation'!G140</f>
        <v>142623.60383999997</v>
      </c>
      <c r="F23" s="1028">
        <f>'GMCO Generation'!H140</f>
        <v>2290606.6924800007</v>
      </c>
      <c r="G23" s="1021">
        <f>'GMCO Generation'!I140</f>
        <v>8542806.8899200037</v>
      </c>
      <c r="H23" s="923">
        <f t="shared" si="0"/>
        <v>-0.73186720453873555</v>
      </c>
      <c r="I23">
        <v>23081040.479999851</v>
      </c>
      <c r="J23" s="11">
        <f t="shared" si="1"/>
        <v>-20790433.78751985</v>
      </c>
    </row>
    <row r="24" spans="1:10" x14ac:dyDescent="0.2">
      <c r="A24" s="747">
        <v>20</v>
      </c>
      <c r="B24" s="1505"/>
      <c r="C24" s="750" t="str">
        <f>'GMCO Generation'!C142</f>
        <v>Nababganj 55 MW PP (Southern power)</v>
      </c>
      <c r="D24" s="751">
        <f>'GMCO Generation'!F142</f>
        <v>4511665.3476001089</v>
      </c>
      <c r="E24" s="751">
        <f>'GMCO Generation'!G142</f>
        <v>56085.179999999957</v>
      </c>
      <c r="F24" s="1028">
        <f>'GMCO Generation'!H142</f>
        <v>4455580.1676001092</v>
      </c>
      <c r="G24" s="1021">
        <f>'GMCO Generation'!I142</f>
        <v>9744378.7382998951</v>
      </c>
      <c r="H24" s="923">
        <f t="shared" si="0"/>
        <v>-0.54275379813721447</v>
      </c>
      <c r="I24">
        <v>20910384.278399888</v>
      </c>
      <c r="J24" s="11">
        <f t="shared" si="1"/>
        <v>-16454804.110799778</v>
      </c>
    </row>
    <row r="25" spans="1:10" x14ac:dyDescent="0.2">
      <c r="A25" s="755">
        <v>21</v>
      </c>
      <c r="B25" s="1505"/>
      <c r="C25" s="750" t="str">
        <f>'GMCO Generation'!C144</f>
        <v>Bosila 108MW PP (CLC)</v>
      </c>
      <c r="D25" s="751">
        <f>'GMCO Generation'!F144</f>
        <v>0</v>
      </c>
      <c r="E25" s="751">
        <f>'GMCO Generation'!G144</f>
        <v>0</v>
      </c>
      <c r="F25" s="1028">
        <f>'GMCO Generation'!H144</f>
        <v>0</v>
      </c>
      <c r="G25" s="1021">
        <f>'GMCO Generation'!I144</f>
        <v>0</v>
      </c>
      <c r="H25" s="923" t="e">
        <f t="shared" si="0"/>
        <v>#DIV/0!</v>
      </c>
      <c r="J25" s="11">
        <f t="shared" si="1"/>
        <v>0</v>
      </c>
    </row>
    <row r="26" spans="1:10" x14ac:dyDescent="0.2">
      <c r="A26" s="747">
        <v>22</v>
      </c>
      <c r="B26" s="1505"/>
      <c r="C26" s="750" t="str">
        <f>'GMCO Generation'!C141</f>
        <v>Manikganj 55 MW PP (Northern)</v>
      </c>
      <c r="D26" s="751">
        <f>'GMCO Generation'!F141</f>
        <v>9990808.199999854</v>
      </c>
      <c r="E26" s="751">
        <f>'GMCO Generation'!G141</f>
        <v>53139.000000000269</v>
      </c>
      <c r="F26" s="1028">
        <f>'GMCO Generation'!H141</f>
        <v>9937669.199999854</v>
      </c>
      <c r="G26" s="1021">
        <f>'GMCO Generation'!I141</f>
        <v>17109792.300000042</v>
      </c>
      <c r="H26" s="923">
        <f t="shared" si="0"/>
        <v>-0.41918235909854795</v>
      </c>
      <c r="I26">
        <v>19453093.799999934</v>
      </c>
      <c r="J26" s="11">
        <f t="shared" si="1"/>
        <v>-9515424.6000000797</v>
      </c>
    </row>
    <row r="27" spans="1:10" x14ac:dyDescent="0.2">
      <c r="A27" s="755">
        <v>23</v>
      </c>
      <c r="B27" s="1505"/>
      <c r="C27" s="750" t="str">
        <f>'GMCO Generation'!C145</f>
        <v xml:space="preserve">Kamalaghat 54 MW PP (Banco Energy) </v>
      </c>
      <c r="D27" s="751">
        <f>'GMCO Generation'!F145</f>
        <v>9243251.9999999218</v>
      </c>
      <c r="E27" s="751">
        <f>'GMCO Generation'!G145</f>
        <v>37584.000000000015</v>
      </c>
      <c r="F27" s="1028">
        <f>'GMCO Generation'!H145</f>
        <v>9205667.9999999218</v>
      </c>
      <c r="G27" s="1021">
        <f>'GMCO Generation'!I145</f>
        <v>15929460.000000037</v>
      </c>
      <c r="H27" s="923">
        <f t="shared" si="0"/>
        <v>-0.42209792422342629</v>
      </c>
      <c r="I27">
        <v>18589932.000000075</v>
      </c>
      <c r="J27" s="11">
        <f t="shared" si="1"/>
        <v>-9384264.0000001527</v>
      </c>
    </row>
    <row r="28" spans="1:10" x14ac:dyDescent="0.2">
      <c r="A28" s="747">
        <v>24</v>
      </c>
      <c r="B28" s="1505"/>
      <c r="C28" s="750" t="str">
        <f>'GMCO Generation'!C146</f>
        <v xml:space="preserve">Kodda 300 MW PP Unit-2 (Summit) </v>
      </c>
      <c r="D28" s="751">
        <f>'GMCO Generation'!F146</f>
        <v>16822450.908481468</v>
      </c>
      <c r="E28" s="751">
        <f>'GMCO Generation'!G146</f>
        <v>382134.54544069857</v>
      </c>
      <c r="F28" s="1028">
        <f>'GMCO Generation'!H146</f>
        <v>16440316.363040769</v>
      </c>
      <c r="G28" s="1021">
        <f>'GMCO Generation'!I146</f>
        <v>47193992.725563236</v>
      </c>
      <c r="H28" s="923">
        <f t="shared" si="0"/>
        <v>-0.65164387640091193</v>
      </c>
      <c r="I28">
        <v>79569796.360753</v>
      </c>
      <c r="J28" s="11">
        <f t="shared" si="1"/>
        <v>-63129479.997712232</v>
      </c>
    </row>
    <row r="29" spans="1:10" x14ac:dyDescent="0.2">
      <c r="A29" s="755">
        <v>25</v>
      </c>
      <c r="B29" s="1505"/>
      <c r="C29" s="750" t="s">
        <v>1589</v>
      </c>
      <c r="D29" s="751">
        <f>'GMCO Generation'!F129</f>
        <v>85496953.431272715</v>
      </c>
      <c r="E29" s="751">
        <f>'GMCO Generation'!G129</f>
        <v>2601033.7894545454</v>
      </c>
      <c r="F29" s="1135">
        <f>'GMCO Generation'!H129</f>
        <v>82895919.641818166</v>
      </c>
      <c r="G29" s="1148">
        <f>'GMCO Generation'!I129</f>
        <v>-1421784.1654545446</v>
      </c>
      <c r="H29" s="923">
        <f t="shared" si="0"/>
        <v>-59.30415168206374</v>
      </c>
      <c r="I29">
        <v>-1030770.3229090902</v>
      </c>
      <c r="J29" s="11">
        <f t="shared" si="1"/>
        <v>83926689.964727253</v>
      </c>
    </row>
    <row r="30" spans="1:10" x14ac:dyDescent="0.2">
      <c r="A30" s="747">
        <v>26</v>
      </c>
      <c r="B30" s="1505"/>
      <c r="C30" s="750" t="str">
        <f>'GMCO Generation'!C128</f>
        <v>Unique Meghnaghat 584MW CCPP</v>
      </c>
      <c r="D30" s="751">
        <f>'GMCO Generation'!F128</f>
        <v>236534964.5454784</v>
      </c>
      <c r="E30" s="751">
        <f>'GMCO Generation'!G128</f>
        <v>467448.97272732086</v>
      </c>
      <c r="F30" s="1028">
        <f>'GMCO Generation'!H128</f>
        <v>236067515.57275108</v>
      </c>
      <c r="G30" s="1021">
        <f>'GMCO Generation'!I128</f>
        <v>206497510.94547513</v>
      </c>
      <c r="H30" s="923">
        <f t="shared" si="0"/>
        <v>0.14319787435638287</v>
      </c>
      <c r="I30">
        <v>-1591008.9000001599</v>
      </c>
      <c r="J30" s="11">
        <f t="shared" si="1"/>
        <v>237658524.47275123</v>
      </c>
    </row>
    <row r="31" spans="1:10" x14ac:dyDescent="0.2">
      <c r="A31" s="755">
        <v>27</v>
      </c>
      <c r="B31" s="1505"/>
      <c r="C31" s="750" t="str">
        <f>'GMCO Generation'!C127</f>
        <v>Summit Power Meghnaghat-2 583 MW CCPP</v>
      </c>
      <c r="D31" s="751">
        <f>'GMCO Generation'!F127</f>
        <v>130778546.16819507</v>
      </c>
      <c r="E31" s="751">
        <f>'GMCO Generation'!G127</f>
        <v>1110643.4727273837</v>
      </c>
      <c r="F31" s="1028">
        <f>'GMCO Generation'!H127</f>
        <v>129667902.69546768</v>
      </c>
      <c r="G31" s="1021">
        <f>'GMCO Generation'!I127</f>
        <v>192790116.9500193</v>
      </c>
      <c r="H31" s="923"/>
      <c r="I31">
        <v>-1829320.3136365332</v>
      </c>
      <c r="J31" s="11">
        <f t="shared" si="1"/>
        <v>131497223.00910421</v>
      </c>
    </row>
    <row r="32" spans="1:10" x14ac:dyDescent="0.2">
      <c r="A32" s="755">
        <v>28</v>
      </c>
      <c r="B32" s="1505"/>
      <c r="C32" s="750" t="str">
        <f>'GMCO Generation'!C174</f>
        <v>Aurahati 100MW PP (Aggreko)</v>
      </c>
      <c r="D32" s="751">
        <f>'GMCO Generation'!F174</f>
        <v>0</v>
      </c>
      <c r="E32" s="751">
        <f>'GMCO Generation'!G174</f>
        <v>0</v>
      </c>
      <c r="F32" s="1028">
        <f>'GMCO Generation'!H174</f>
        <v>0</v>
      </c>
      <c r="G32" s="1021">
        <f>'GMCO Generation'!I174</f>
        <v>0</v>
      </c>
      <c r="H32" s="923" t="e">
        <f t="shared" si="0"/>
        <v>#DIV/0!</v>
      </c>
      <c r="J32" s="11">
        <f t="shared" si="1"/>
        <v>0</v>
      </c>
    </row>
    <row r="33" spans="1:10" x14ac:dyDescent="0.2">
      <c r="A33" s="747">
        <v>29</v>
      </c>
      <c r="B33" s="1505"/>
      <c r="C33" s="750" t="str">
        <f>'GMCO Generation'!C175</f>
        <v>Bramhangoan 100 MW PP (Aggreko)</v>
      </c>
      <c r="D33" s="751">
        <f>'GMCO Generation'!F175</f>
        <v>0</v>
      </c>
      <c r="E33" s="751">
        <f>'GMCO Generation'!G175</f>
        <v>0</v>
      </c>
      <c r="F33" s="1028">
        <f>'GMCO Generation'!H175</f>
        <v>0</v>
      </c>
      <c r="G33" s="1021">
        <f>'GMCO Generation'!I175</f>
        <v>0</v>
      </c>
      <c r="H33" s="923" t="e">
        <f t="shared" si="0"/>
        <v>#DIV/0!</v>
      </c>
      <c r="J33" s="11">
        <f t="shared" si="1"/>
        <v>0</v>
      </c>
    </row>
    <row r="34" spans="1:10" x14ac:dyDescent="0.2">
      <c r="A34" s="755">
        <v>30</v>
      </c>
      <c r="B34" s="1505"/>
      <c r="C34" s="750" t="str">
        <f>'GMCO Generation'!C171</f>
        <v>Keranigonj 300 MW PP (APR)</v>
      </c>
      <c r="D34" s="751">
        <f>'GMCO Generation'!F171</f>
        <v>0</v>
      </c>
      <c r="E34" s="751">
        <f>'GMCO Generation'!G171</f>
        <v>0</v>
      </c>
      <c r="F34" s="1028">
        <f>'GMCO Generation'!H171</f>
        <v>0</v>
      </c>
      <c r="G34" s="1021">
        <f>'GMCO Generation'!I171</f>
        <v>0</v>
      </c>
      <c r="H34" s="923" t="e">
        <f t="shared" si="0"/>
        <v>#DIV/0!</v>
      </c>
      <c r="J34" s="11">
        <f t="shared" si="1"/>
        <v>0</v>
      </c>
    </row>
    <row r="35" spans="1:10" x14ac:dyDescent="0.2">
      <c r="A35" s="747">
        <v>31</v>
      </c>
      <c r="B35" s="1505"/>
      <c r="C35" s="750" t="str">
        <f>'GMCO Generation'!C148</f>
        <v>Kodda 149 MW PP Unit-1 (Summit-ACE Alliance PPL)</v>
      </c>
      <c r="D35" s="751">
        <f>'GMCO Generation'!F148</f>
        <v>39102624.000000432</v>
      </c>
      <c r="E35" s="751">
        <f>'GMCO Generation'!G148</f>
        <v>51695.999999999745</v>
      </c>
      <c r="F35" s="1028">
        <f>'GMCO Generation'!H148</f>
        <v>39050928.000000432</v>
      </c>
      <c r="G35" s="1021">
        <f>'GMCO Generation'!I148</f>
        <v>68250527.999999717</v>
      </c>
      <c r="H35" s="923">
        <f t="shared" si="0"/>
        <v>-0.4278296572298958</v>
      </c>
      <c r="I35">
        <v>69791759.999999717</v>
      </c>
      <c r="J35" s="11">
        <f t="shared" si="1"/>
        <v>-30740831.999999285</v>
      </c>
    </row>
    <row r="36" spans="1:10" x14ac:dyDescent="0.2">
      <c r="A36" s="755">
        <v>32</v>
      </c>
      <c r="B36" s="1505"/>
      <c r="C36" s="750" t="str">
        <f>'GMCO Generation'!C234</f>
        <v>Manikganj 162MW Power Generation</v>
      </c>
      <c r="D36" s="751">
        <f>'GMCO Generation'!F234</f>
        <v>27559036.800000068</v>
      </c>
      <c r="E36" s="751">
        <f>'GMCO Generation'!G234</f>
        <v>69955.200000000099</v>
      </c>
      <c r="F36" s="1028">
        <f>'GMCO Generation'!H234</f>
        <v>27489081.600000069</v>
      </c>
      <c r="G36" s="1021">
        <f>'GMCO Generation'!I234</f>
        <v>47902967.99999997</v>
      </c>
      <c r="H36" s="923">
        <f t="shared" si="0"/>
        <v>-0.42615076376895716</v>
      </c>
      <c r="I36">
        <v>60766214.39999979</v>
      </c>
      <c r="J36" s="11">
        <f t="shared" si="1"/>
        <v>-33277132.799999721</v>
      </c>
    </row>
    <row r="37" spans="1:10" x14ac:dyDescent="0.2">
      <c r="A37" s="747">
        <v>33</v>
      </c>
      <c r="B37" s="1505"/>
      <c r="C37" s="750" t="str">
        <f>'GMCO Generation'!C164</f>
        <v>Orion power Sonargaon Limited</v>
      </c>
      <c r="D37" s="751">
        <f>'GMCO Generation'!F164</f>
        <v>12593375.999999916</v>
      </c>
      <c r="E37" s="751">
        <f>'GMCO Generation'!G164</f>
        <v>74303.999999999913</v>
      </c>
      <c r="F37" s="1028">
        <f>'GMCO Generation'!H164</f>
        <v>12519071.999999916</v>
      </c>
      <c r="G37" s="1021">
        <f>'GMCO Generation'!I164</f>
        <v>15121823.999999953</v>
      </c>
      <c r="H37" s="923">
        <f t="shared" si="0"/>
        <v>-0.17211891898755372</v>
      </c>
      <c r="I37">
        <v>16414271.999999963</v>
      </c>
      <c r="J37" s="11">
        <f t="shared" si="1"/>
        <v>-3895200.0000000466</v>
      </c>
    </row>
    <row r="38" spans="1:10" x14ac:dyDescent="0.2">
      <c r="A38" s="755">
        <v>34</v>
      </c>
      <c r="B38" s="1505"/>
      <c r="C38" s="750" t="str">
        <f>'GMCO Generation'!C187</f>
        <v>Manikganj 35MW Spectra Solar Park Ltd.</v>
      </c>
      <c r="D38" s="751">
        <f>'GMCO Generation'!F187</f>
        <v>5281838.3999999966</v>
      </c>
      <c r="E38" s="751">
        <f>'GMCO Generation'!G187</f>
        <v>13768.800000000034</v>
      </c>
      <c r="F38" s="1028">
        <f>'GMCO Generation'!H187</f>
        <v>5268069.5999999968</v>
      </c>
      <c r="G38" s="1021">
        <f>'GMCO Generation'!I187</f>
        <v>5516049.5999999866</v>
      </c>
      <c r="H38" s="923">
        <f t="shared" si="0"/>
        <v>-4.4956085964127361E-2</v>
      </c>
      <c r="I38">
        <v>5396783.9999999795</v>
      </c>
      <c r="J38" s="11">
        <f t="shared" si="1"/>
        <v>-128714.39999998268</v>
      </c>
    </row>
    <row r="39" spans="1:10" x14ac:dyDescent="0.2">
      <c r="A39" s="747">
        <v>35</v>
      </c>
      <c r="B39" s="1505"/>
      <c r="C39" s="750" t="str">
        <f>'GMCO Generation'!C169</f>
        <v>Kanchan Purbachol 55MW Power Generation</v>
      </c>
      <c r="D39" s="751">
        <f>'GMCO Generation'!F169</f>
        <v>15558314.400000036</v>
      </c>
      <c r="E39" s="751">
        <f>'GMCO Generation'!G169</f>
        <v>25437.60000000006</v>
      </c>
      <c r="F39" s="1028">
        <f>'GMCO Generation'!H169</f>
        <v>15532876.800000036</v>
      </c>
      <c r="G39" s="1021">
        <f>'GMCO Generation'!I169</f>
        <v>11879377.199999981</v>
      </c>
      <c r="H39" s="923">
        <f t="shared" si="0"/>
        <v>0.30754975942678725</v>
      </c>
      <c r="I39">
        <v>12088202.400000017</v>
      </c>
      <c r="J39" s="11">
        <f t="shared" si="1"/>
        <v>3444674.400000019</v>
      </c>
    </row>
    <row r="40" spans="1:10" x14ac:dyDescent="0.2">
      <c r="A40" s="755">
        <v>36</v>
      </c>
      <c r="B40" s="1505"/>
      <c r="C40" s="750" t="str">
        <f>'GMCO Generation'!C19</f>
        <v>Haripur GTPP 100MW</v>
      </c>
      <c r="D40" s="751">
        <f>'GMCO Generation'!F19</f>
        <v>0</v>
      </c>
      <c r="E40" s="751">
        <f>'GMCO Generation'!G19</f>
        <v>2400.0000000029331</v>
      </c>
      <c r="F40" s="1028">
        <f>'GMCO Generation'!H19</f>
        <v>-2400.0000000029331</v>
      </c>
      <c r="G40" s="1021">
        <f>'GMCO Generation'!I19</f>
        <v>-65999.999999999665</v>
      </c>
      <c r="H40" s="923">
        <f t="shared" si="0"/>
        <v>-0.96363636363631899</v>
      </c>
      <c r="I40">
        <v>-90600.000000002008</v>
      </c>
      <c r="J40" s="11">
        <f t="shared" si="1"/>
        <v>88199.999999999069</v>
      </c>
    </row>
    <row r="41" spans="1:10" x14ac:dyDescent="0.2">
      <c r="A41" s="755">
        <v>37</v>
      </c>
      <c r="B41" s="1505"/>
      <c r="C41" s="752" t="s">
        <v>1286</v>
      </c>
      <c r="D41" s="751">
        <f>'GMCO Generation'!F18</f>
        <v>30319218.363200821</v>
      </c>
      <c r="E41" s="751">
        <f>'GMCO Generation'!G18</f>
        <v>2826216.6607999709</v>
      </c>
      <c r="F41" s="1028">
        <f>'GMCO Generation'!H18</f>
        <v>27493001.702400856</v>
      </c>
      <c r="G41" s="1021">
        <f>'GMCO Generation'!I18</f>
        <v>-1456780.9140000266</v>
      </c>
      <c r="H41" s="923">
        <f t="shared" si="0"/>
        <v>-19.872434034648776</v>
      </c>
      <c r="I41">
        <v>20473352.677299846</v>
      </c>
      <c r="J41" s="11">
        <f t="shared" si="1"/>
        <v>7019649.0251010098</v>
      </c>
    </row>
    <row r="42" spans="1:10" x14ac:dyDescent="0.2">
      <c r="A42" s="747">
        <v>38</v>
      </c>
      <c r="B42" s="1505"/>
      <c r="C42" s="750" t="str">
        <f>'GMCO Generation'!C30</f>
        <v>Tongi 80 MW GTPP</v>
      </c>
      <c r="D42" s="751">
        <f>'GMCO Generation'!F30</f>
        <v>0</v>
      </c>
      <c r="E42" s="751">
        <f>'GMCO Generation'!G30</f>
        <v>2640.0000000002956</v>
      </c>
      <c r="F42" s="1028">
        <f>'GMCO Generation'!H30</f>
        <v>-2640.0000000002956</v>
      </c>
      <c r="G42" s="1021">
        <f>'GMCO Generation'!I30</f>
        <v>-1319.9999999998547</v>
      </c>
      <c r="H42" s="923">
        <f t="shared" si="0"/>
        <v>1.0000000000004441</v>
      </c>
      <c r="I42">
        <v>-63360.000000000058</v>
      </c>
      <c r="J42" s="11">
        <f t="shared" si="1"/>
        <v>60719.99999999976</v>
      </c>
    </row>
    <row r="43" spans="1:10" x14ac:dyDescent="0.2">
      <c r="A43" s="755">
        <v>39</v>
      </c>
      <c r="B43" s="1506"/>
      <c r="C43" s="817" t="str">
        <f>'GMCO Generation'!C20</f>
        <v>210 MW Siddhirgonj TPP</v>
      </c>
      <c r="D43" s="818">
        <f>'GMCO Generation'!F20</f>
        <v>0</v>
      </c>
      <c r="E43" s="818">
        <f>'GMCO Generation'!G20</f>
        <v>51268.800000000192</v>
      </c>
      <c r="F43" s="1029">
        <f>'GMCO Generation'!H20</f>
        <v>-51268.800000000192</v>
      </c>
      <c r="G43" s="1024">
        <f>'GMCO Generation'!I20</f>
        <v>-57261.59999999954</v>
      </c>
      <c r="H43" s="923">
        <f t="shared" si="0"/>
        <v>-0.10465652374365013</v>
      </c>
      <c r="I43">
        <v>-53908.800000002295</v>
      </c>
      <c r="J43" s="11">
        <f t="shared" si="1"/>
        <v>2640.0000000021028</v>
      </c>
    </row>
    <row r="44" spans="1:10" ht="12.75" customHeight="1" x14ac:dyDescent="0.2">
      <c r="A44" s="1486" t="s">
        <v>1357</v>
      </c>
      <c r="B44" s="1486"/>
      <c r="C44" s="1486"/>
      <c r="D44" s="1486"/>
      <c r="E44" s="1486"/>
      <c r="F44" s="1487">
        <f>SUM(F4:F43)</f>
        <v>1600637969.9554343</v>
      </c>
      <c r="G44" s="1488">
        <f>SUM(G4:G43)</f>
        <v>1704595690.4416869</v>
      </c>
      <c r="H44" s="1512">
        <f t="shared" si="0"/>
        <v>-6.0986731967693469E-2</v>
      </c>
      <c r="I44">
        <v>944227019.00669694</v>
      </c>
      <c r="J44" s="571">
        <f>F44-I44</f>
        <v>656410950.94873738</v>
      </c>
    </row>
    <row r="45" spans="1:10" ht="12.75" customHeight="1" x14ac:dyDescent="0.2">
      <c r="A45" s="1486"/>
      <c r="B45" s="1486"/>
      <c r="C45" s="1486"/>
      <c r="D45" s="1486"/>
      <c r="E45" s="1486"/>
      <c r="F45" s="1487"/>
      <c r="G45" s="1488"/>
      <c r="H45" s="1512"/>
    </row>
    <row r="46" spans="1:10" ht="17.25" customHeight="1" x14ac:dyDescent="0.2">
      <c r="A46" s="819" t="s">
        <v>1284</v>
      </c>
      <c r="B46" s="819" t="s">
        <v>17</v>
      </c>
      <c r="C46" s="819" t="s">
        <v>1282</v>
      </c>
      <c r="D46" s="819" t="s">
        <v>8</v>
      </c>
      <c r="E46" s="819" t="s">
        <v>745</v>
      </c>
      <c r="F46" s="1030" t="s">
        <v>1283</v>
      </c>
      <c r="G46" s="1020"/>
      <c r="H46" s="923"/>
    </row>
    <row r="47" spans="1:10" x14ac:dyDescent="0.2">
      <c r="A47" s="755">
        <v>1</v>
      </c>
      <c r="B47" s="1507" t="s">
        <v>1287</v>
      </c>
      <c r="C47" s="820" t="s">
        <v>1358</v>
      </c>
      <c r="D47" s="821">
        <f>'GMCO Generation'!F84+'GMCO Generation'!F85+'GMCO Generation'!F86</f>
        <v>0</v>
      </c>
      <c r="E47" s="821">
        <f>'Generation Reading'!K450</f>
        <v>186493.59999998755</v>
      </c>
      <c r="F47" s="1031">
        <f>D47-E47</f>
        <v>-186493.59999998755</v>
      </c>
      <c r="G47" s="1023">
        <f>'GMCO Generation'!I84</f>
        <v>-197498.89999999868</v>
      </c>
      <c r="H47" s="923">
        <f t="shared" si="0"/>
        <v>-5.5723348332629742E-2</v>
      </c>
    </row>
    <row r="48" spans="1:10" x14ac:dyDescent="0.2">
      <c r="A48" s="747">
        <v>2</v>
      </c>
      <c r="B48" s="1508"/>
      <c r="C48" s="750" t="str">
        <f>'GMCO Generation'!C87</f>
        <v xml:space="preserve">Ashuganj 50 MW PP </v>
      </c>
      <c r="D48" s="751">
        <f>'GMCO Generation'!F87</f>
        <v>14842889.99999986</v>
      </c>
      <c r="E48" s="751">
        <f>'GMCO Generation'!G87</f>
        <v>2393.9999999999363</v>
      </c>
      <c r="F48" s="1028">
        <f>'GMCO Generation'!H87</f>
        <v>14840495.99999986</v>
      </c>
      <c r="G48" s="1021">
        <f>'GMCO Generation'!I87</f>
        <v>22867811.999999925</v>
      </c>
      <c r="H48" s="923">
        <f t="shared" si="0"/>
        <v>-0.35103122240116769</v>
      </c>
    </row>
    <row r="49" spans="1:8" x14ac:dyDescent="0.2">
      <c r="A49" s="747">
        <v>3</v>
      </c>
      <c r="B49" s="1508"/>
      <c r="C49" s="750" t="str">
        <f>'GMCO Generation'!C88</f>
        <v xml:space="preserve">Ashuganj 225 MW  CCPP </v>
      </c>
      <c r="D49" s="751">
        <f>'GMCO Generation'!F88</f>
        <v>144205678.70871985</v>
      </c>
      <c r="E49" s="751">
        <f>'GMCO Generation'!G88</f>
        <v>0</v>
      </c>
      <c r="F49" s="1028">
        <f>'GMCO Generation'!H88</f>
        <v>144205678.70871985</v>
      </c>
      <c r="G49" s="1021">
        <f>'GMCO Generation'!I88</f>
        <v>144200808.9732798</v>
      </c>
      <c r="H49" s="923">
        <f t="shared" si="0"/>
        <v>3.3770514012497324E-5</v>
      </c>
    </row>
    <row r="50" spans="1:8" x14ac:dyDescent="0.2">
      <c r="A50" s="747">
        <v>4</v>
      </c>
      <c r="B50" s="1508"/>
      <c r="C50" s="750" t="str">
        <f>'GMCO Generation'!C89</f>
        <v>Ashuganj 450 MW CCPP(South)</v>
      </c>
      <c r="D50" s="751">
        <f>'GMCO Generation'!F89</f>
        <v>238019823.9999992</v>
      </c>
      <c r="E50" s="751">
        <f>'GMCO Generation'!G89</f>
        <v>229.99999999946397</v>
      </c>
      <c r="F50" s="1028">
        <f>'GMCO Generation'!H89</f>
        <v>238019593.9999992</v>
      </c>
      <c r="G50" s="1021">
        <f>'GMCO Generation'!I89</f>
        <v>242383809.50000149</v>
      </c>
      <c r="H50" s="923">
        <f t="shared" si="0"/>
        <v>-1.8005391981440362E-2</v>
      </c>
    </row>
    <row r="51" spans="1:8" x14ac:dyDescent="0.2">
      <c r="A51" s="747">
        <v>5</v>
      </c>
      <c r="B51" s="1508"/>
      <c r="C51" s="750" t="str">
        <f>'GMCO Generation'!C90</f>
        <v>Ashuganj 450 MW CCPP(North)</v>
      </c>
      <c r="D51" s="751">
        <f>'GMCO Generation'!F90</f>
        <v>200555272.70721918</v>
      </c>
      <c r="E51" s="751">
        <f>'GMCO Generation'!G90</f>
        <v>365090.9090544018</v>
      </c>
      <c r="F51" s="1028">
        <f>'GMCO Generation'!H90</f>
        <v>200190181.79816478</v>
      </c>
      <c r="G51" s="1021">
        <f>'GMCO Generation'!I90</f>
        <v>222883636.34134686</v>
      </c>
      <c r="H51" s="923">
        <f t="shared" si="0"/>
        <v>-0.10181749955132188</v>
      </c>
    </row>
    <row r="52" spans="1:8" x14ac:dyDescent="0.2">
      <c r="A52" s="747">
        <v>6</v>
      </c>
      <c r="B52" s="1508"/>
      <c r="C52" s="750" t="str">
        <f>'GMCO Generation'!C91</f>
        <v>Ashuganj 450 MW CCPP(East)</v>
      </c>
      <c r="D52" s="751">
        <f>'GMCO Generation'!F91</f>
        <v>0</v>
      </c>
      <c r="E52" s="751">
        <f>'GMCO Generation'!G91</f>
        <v>697148.18202414887</v>
      </c>
      <c r="F52" s="1028">
        <f>'GMCO Generation'!H91</f>
        <v>-697148.18202414887</v>
      </c>
      <c r="G52" s="1021">
        <f>'GMCO Generation'!I91</f>
        <v>-746067.27294794994</v>
      </c>
      <c r="H52" s="923">
        <f t="shared" si="0"/>
        <v>-6.5569275985670999E-2</v>
      </c>
    </row>
    <row r="53" spans="1:8" x14ac:dyDescent="0.2">
      <c r="A53" s="747">
        <v>7</v>
      </c>
      <c r="B53" s="1508"/>
      <c r="C53" s="750" t="str">
        <f>'GMCO Generation'!C122</f>
        <v>United Power Co. Ltd. 195 MW (Ashuganj)</v>
      </c>
      <c r="D53" s="751">
        <f>'GMCO Generation'!F122</f>
        <v>69440094.5567763</v>
      </c>
      <c r="E53" s="751">
        <f>'GMCO Generation'!G122</f>
        <v>90160.000014699355</v>
      </c>
      <c r="F53" s="1028">
        <f>'GMCO Generation'!H122</f>
        <v>69349934.556761608</v>
      </c>
      <c r="G53" s="1021">
        <f>'GMCO Generation'!I122</f>
        <v>32303709.096175931</v>
      </c>
      <c r="H53" s="923">
        <f t="shared" si="0"/>
        <v>1.1468102734051415</v>
      </c>
    </row>
    <row r="54" spans="1:8" x14ac:dyDescent="0.2">
      <c r="A54" s="747">
        <v>8</v>
      </c>
      <c r="B54" s="1508"/>
      <c r="C54" s="750" t="str">
        <f>'GMCO Generation'!C172</f>
        <v>Daudkandi 200 MW PP (B.Trac)</v>
      </c>
      <c r="D54" s="751">
        <f>'GMCO Generation'!F172</f>
        <v>0</v>
      </c>
      <c r="E54" s="751">
        <f>'GMCO Generation'!G172</f>
        <v>0</v>
      </c>
      <c r="F54" s="1028">
        <f>'GMCO Generation'!H172</f>
        <v>0</v>
      </c>
      <c r="G54" s="1021">
        <f>'GMCO Generation'!I172</f>
        <v>0</v>
      </c>
      <c r="H54" s="923" t="e">
        <f t="shared" si="0"/>
        <v>#DIV/0!</v>
      </c>
    </row>
    <row r="55" spans="1:8" x14ac:dyDescent="0.2">
      <c r="A55" s="747">
        <v>9</v>
      </c>
      <c r="B55" s="1508"/>
      <c r="C55" s="750" t="str">
        <f>'GMCO Generation'!C203</f>
        <v xml:space="preserve">Ashuganj 55 MW PP  (Precision) </v>
      </c>
      <c r="D55" s="751">
        <f>'GMCO Generation'!F203</f>
        <v>27441912.000000011</v>
      </c>
      <c r="E55" s="751">
        <f>'GMCO Generation'!G203</f>
        <v>2795.999999999985</v>
      </c>
      <c r="F55" s="1028">
        <f>'GMCO Generation'!H203</f>
        <v>27439116.000000011</v>
      </c>
      <c r="G55" s="1021">
        <f>'GMCO Generation'!I203</f>
        <v>31363919.999999896</v>
      </c>
      <c r="H55" s="923">
        <f t="shared" si="0"/>
        <v>-0.12513754658218418</v>
      </c>
    </row>
    <row r="56" spans="1:8" x14ac:dyDescent="0.2">
      <c r="A56" s="747">
        <v>10</v>
      </c>
      <c r="B56" s="1508"/>
      <c r="C56" s="750" t="str">
        <f>'GMCO Generation'!C202</f>
        <v>Jangalia 33MW PP (Summit) (SIPP, PDB)</v>
      </c>
      <c r="D56" s="751">
        <f>'GMCO Generation'!F202</f>
        <v>0</v>
      </c>
      <c r="E56" s="751">
        <f>'GMCO Generation'!G202</f>
        <v>8236.7999999999884</v>
      </c>
      <c r="F56" s="1028">
        <f>'GMCO Generation'!H202</f>
        <v>-8236.7999999999884</v>
      </c>
      <c r="G56" s="1021">
        <f>'GMCO Generation'!I202</f>
        <v>-15587.999999999993</v>
      </c>
      <c r="H56" s="923">
        <f t="shared" si="0"/>
        <v>-0.47159353348729843</v>
      </c>
    </row>
    <row r="57" spans="1:8" x14ac:dyDescent="0.2">
      <c r="A57" s="747">
        <v>11</v>
      </c>
      <c r="B57" s="1508"/>
      <c r="C57" s="750" t="str">
        <f>'GMCO Generation'!C201</f>
        <v>Feni  22MW PP (Doreen) (SIPP, PDB)</v>
      </c>
      <c r="D57" s="751">
        <f>'GMCO Generation'!F201</f>
        <v>0</v>
      </c>
      <c r="E57" s="751">
        <f>'GMCO Generation'!G201</f>
        <v>0</v>
      </c>
      <c r="F57" s="1028">
        <f>'GMCO Generation'!H201</f>
        <v>0</v>
      </c>
      <c r="G57" s="1021">
        <f>'GMCO Generation'!I201</f>
        <v>0</v>
      </c>
      <c r="H57" s="923" t="e">
        <f t="shared" si="0"/>
        <v>#DIV/0!</v>
      </c>
    </row>
    <row r="58" spans="1:8" x14ac:dyDescent="0.2">
      <c r="A58" s="747">
        <v>12</v>
      </c>
      <c r="B58" s="1508"/>
      <c r="C58" s="750" t="str">
        <f>'GMCO Generation'!C205</f>
        <v>Ashuganj 53MW PP (United)</v>
      </c>
      <c r="D58" s="751">
        <f>'GMCO Generation'!F205</f>
        <v>0</v>
      </c>
      <c r="E58" s="751">
        <f>'GMCO Generation'!G205</f>
        <v>0</v>
      </c>
      <c r="F58" s="1028">
        <f>'GMCO Generation'!H205</f>
        <v>0</v>
      </c>
      <c r="G58" s="1021">
        <f>'GMCO Generation'!I205</f>
        <v>0</v>
      </c>
      <c r="H58" s="923" t="e">
        <f t="shared" si="0"/>
        <v>#DIV/0!</v>
      </c>
    </row>
    <row r="59" spans="1:8" x14ac:dyDescent="0.2">
      <c r="A59" s="747">
        <v>13</v>
      </c>
      <c r="B59" s="1508"/>
      <c r="C59" s="750" t="str">
        <f>'GMCO Generation'!C117</f>
        <v>Ashuganj 51 MW PP (Midland)</v>
      </c>
      <c r="D59" s="751">
        <f>'GMCO Generation'!F117</f>
        <v>31261547.713680774</v>
      </c>
      <c r="E59" s="751">
        <f>'GMCO Generation'!G117</f>
        <v>2399.3181807750489</v>
      </c>
      <c r="F59" s="1028">
        <f>'GMCO Generation'!H117</f>
        <v>31259148.395500001</v>
      </c>
      <c r="G59" s="1021">
        <f>'GMCO Generation'!I117</f>
        <v>32958492.940215498</v>
      </c>
      <c r="H59" s="923">
        <f t="shared" si="0"/>
        <v>-5.1560141047650297E-2</v>
      </c>
    </row>
    <row r="60" spans="1:8" x14ac:dyDescent="0.2">
      <c r="A60" s="747">
        <v>14</v>
      </c>
      <c r="B60" s="1508"/>
      <c r="C60" s="750" t="str">
        <f>'GMCO Generation'!C151</f>
        <v>Ashuganj 150MW PP (Midland)</v>
      </c>
      <c r="D60" s="751">
        <f>'GMCO Generation'!F151</f>
        <v>21743614.548999783</v>
      </c>
      <c r="E60" s="751">
        <f>'GMCO Generation'!G151</f>
        <v>269810.90913489962</v>
      </c>
      <c r="F60" s="1028">
        <f>'GMCO Generation'!H151</f>
        <v>21473803.639864884</v>
      </c>
      <c r="G60" s="1021">
        <f>'GMCO Generation'!I151</f>
        <v>32466465.459838677</v>
      </c>
      <c r="H60" s="923">
        <f t="shared" si="0"/>
        <v>-0.33858511126108937</v>
      </c>
    </row>
    <row r="61" spans="1:8" x14ac:dyDescent="0.2">
      <c r="A61" s="747">
        <v>15</v>
      </c>
      <c r="B61" s="1508"/>
      <c r="C61" s="750" t="str">
        <f>'GMCO Generation'!C137</f>
        <v>Jangalia 52 MW PP (Lakdanavi)</v>
      </c>
      <c r="D61" s="751">
        <f>'GMCO Generation'!F137</f>
        <v>16871673.599999994</v>
      </c>
      <c r="E61" s="751">
        <f>'GMCO Generation'!G137</f>
        <v>25545.599999999809</v>
      </c>
      <c r="F61" s="1028">
        <f>'GMCO Generation'!H137</f>
        <v>16846127.999999993</v>
      </c>
      <c r="G61" s="1021">
        <f>'GMCO Generation'!I137</f>
        <v>15802089.600000123</v>
      </c>
      <c r="H61" s="923">
        <f t="shared" si="0"/>
        <v>6.6069641827613851E-2</v>
      </c>
    </row>
    <row r="62" spans="1:8" x14ac:dyDescent="0.2">
      <c r="A62" s="747">
        <v>16</v>
      </c>
      <c r="B62" s="1508"/>
      <c r="C62" s="750" t="str">
        <f>'GMCO Generation'!C50</f>
        <v>Titas 50 MW Peaking PP</v>
      </c>
      <c r="D62" s="751">
        <f>'GMCO Generation'!F50</f>
        <v>16841999.999999933</v>
      </c>
      <c r="E62" s="751">
        <f>'GMCO Generation'!G50</f>
        <v>40175.999999999309</v>
      </c>
      <c r="F62" s="1028">
        <f>'GMCO Generation'!H50</f>
        <v>16801823.999999933</v>
      </c>
      <c r="G62" s="1021">
        <f>'GMCO Generation'!I50</f>
        <v>13979376.000000071</v>
      </c>
      <c r="H62" s="923">
        <f t="shared" si="0"/>
        <v>0.20190085737731411</v>
      </c>
    </row>
    <row r="63" spans="1:8" x14ac:dyDescent="0.2">
      <c r="A63" s="747">
        <v>17</v>
      </c>
      <c r="B63" s="1508"/>
      <c r="C63" s="750" t="str">
        <f>'GMCO Generation'!C150</f>
        <v>Chandpur 200MW (Desh energy)</v>
      </c>
      <c r="D63" s="751">
        <f>'GMCO Generation'!F150</f>
        <v>96881947.199999839</v>
      </c>
      <c r="E63" s="751">
        <f>'GMCO Generation'!G150</f>
        <v>31468.800000000243</v>
      </c>
      <c r="F63" s="1028">
        <f>'GMCO Generation'!H150</f>
        <v>96850478.399999842</v>
      </c>
      <c r="G63" s="1021">
        <f>'GMCO Generation'!I150</f>
        <v>84904531.200000122</v>
      </c>
      <c r="H63" s="923">
        <f t="shared" si="0"/>
        <v>0.14069858264525348</v>
      </c>
    </row>
    <row r="64" spans="1:8" x14ac:dyDescent="0.2">
      <c r="A64" s="747">
        <v>18</v>
      </c>
      <c r="B64" s="1508"/>
      <c r="C64" s="750" t="str">
        <f>'GMCO Generation'!C161</f>
        <v>Feni Lanka Power 114MW PP</v>
      </c>
      <c r="D64" s="751">
        <f>'GMCO Generation'!F161</f>
        <v>61230369.000000186</v>
      </c>
      <c r="E64" s="751">
        <f>'GMCO Generation'!G161</f>
        <v>1345.2000000002063</v>
      </c>
      <c r="F64" s="1028">
        <f>'GMCO Generation'!H161</f>
        <v>61229023.800000183</v>
      </c>
      <c r="G64" s="1021">
        <f>'GMCO Generation'!I161</f>
        <v>62659757.999999963</v>
      </c>
      <c r="H64" s="923">
        <f t="shared" si="0"/>
        <v>-2.2833382152541673E-2</v>
      </c>
    </row>
    <row r="65" spans="1:12" x14ac:dyDescent="0.2">
      <c r="A65" s="747">
        <v>19</v>
      </c>
      <c r="B65" s="1508"/>
      <c r="C65" s="750" t="str">
        <f>'GMCO Generation'!C163</f>
        <v>HF 113 MW Power Limited</v>
      </c>
      <c r="D65" s="751">
        <f>'GMCO Generation'!F163</f>
        <v>12181898.399999792</v>
      </c>
      <c r="E65" s="751">
        <f>'GMCO Generation'!G163</f>
        <v>579.60000000006676</v>
      </c>
      <c r="F65" s="1028">
        <f>'GMCO Generation'!H163</f>
        <v>12181318.799999792</v>
      </c>
      <c r="G65" s="1021">
        <f>'GMCO Generation'!I163</f>
        <v>12862760.400000013</v>
      </c>
      <c r="H65" s="923">
        <f t="shared" si="0"/>
        <v>-5.2977866244031148E-2</v>
      </c>
    </row>
    <row r="66" spans="1:12" x14ac:dyDescent="0.2">
      <c r="A66" s="747">
        <v>20</v>
      </c>
      <c r="B66" s="1508"/>
      <c r="C66" s="750" t="str">
        <f>'GMCO Generation'!C152</f>
        <v>Chandpur Power Generation Ltd. 115MW</v>
      </c>
      <c r="D66" s="751">
        <f>'GMCO Generation'!F152</f>
        <v>51212486.400000051</v>
      </c>
      <c r="E66" s="751">
        <f>'GMCO Generation'!G152</f>
        <v>307.20000000009406</v>
      </c>
      <c r="F66" s="1028">
        <f>'GMCO Generation'!H152</f>
        <v>51212179.200000048</v>
      </c>
      <c r="G66" s="1021">
        <f>'GMCO Generation'!I152</f>
        <v>54407827.199999966</v>
      </c>
      <c r="H66" s="923">
        <f t="shared" si="0"/>
        <v>-5.8735078470472719E-2</v>
      </c>
    </row>
    <row r="67" spans="1:12" x14ac:dyDescent="0.2">
      <c r="A67" s="747">
        <v>21</v>
      </c>
      <c r="B67" s="1508"/>
      <c r="C67" s="750" t="str">
        <f>'GMCO Generation'!C29</f>
        <v>Chandpur 150 MW CCPP</v>
      </c>
      <c r="D67" s="751">
        <f>'GMCO Generation'!F29</f>
        <v>22691520.000000253</v>
      </c>
      <c r="E67" s="751">
        <f>'GMCO Generation'!G29</f>
        <v>172608.00000000017</v>
      </c>
      <c r="F67" s="1028">
        <f>'GMCO Generation'!H29</f>
        <v>22518912.000000253</v>
      </c>
      <c r="G67" s="1021">
        <f>'GMCO Generation'!I29</f>
        <v>45217343.999999791</v>
      </c>
      <c r="H67" s="923">
        <f t="shared" si="0"/>
        <v>-0.50198507899976708</v>
      </c>
    </row>
    <row r="68" spans="1:12" x14ac:dyDescent="0.2">
      <c r="A68" s="747">
        <v>22</v>
      </c>
      <c r="B68" s="1508"/>
      <c r="C68" s="750" t="str">
        <f>'GMCO Generation'!C68</f>
        <v xml:space="preserve">Hatiya                            </v>
      </c>
      <c r="D68" s="751">
        <f>'GMCO Generation'!F68</f>
        <v>0</v>
      </c>
      <c r="E68" s="751">
        <f>'GMCO Generation'!G68</f>
        <v>0</v>
      </c>
      <c r="F68" s="1028">
        <f>'GMCO Generation'!H68</f>
        <v>0</v>
      </c>
      <c r="G68" s="1021">
        <f>'GMCO Generation'!I68</f>
        <v>0</v>
      </c>
      <c r="H68" s="923" t="e">
        <f t="shared" si="0"/>
        <v>#DIV/0!</v>
      </c>
    </row>
    <row r="69" spans="1:12" x14ac:dyDescent="0.2">
      <c r="A69" s="747">
        <v>23</v>
      </c>
      <c r="B69" s="1508"/>
      <c r="C69" s="750" t="str">
        <f>'GMCO Generation'!C177</f>
        <v>Desh Energy Hatia 15MW</v>
      </c>
      <c r="D69" s="751">
        <f>'GMCO Generation'!F177</f>
        <v>2667891.5999999992</v>
      </c>
      <c r="E69" s="751">
        <f>'GMCO Generation'!G177</f>
        <v>0</v>
      </c>
      <c r="F69" s="1028">
        <f>'GMCO Generation'!H177</f>
        <v>2667891.5999999992</v>
      </c>
      <c r="G69" s="1021">
        <f>'GMCO Generation'!I177</f>
        <v>2601264.6</v>
      </c>
      <c r="H69" s="923"/>
    </row>
    <row r="70" spans="1:12" x14ac:dyDescent="0.2">
      <c r="A70" s="747">
        <v>24</v>
      </c>
      <c r="B70" s="1508"/>
      <c r="C70" s="750" t="str">
        <f>'GMCO Generation'!C75</f>
        <v>Sonagazi 900KW Wind Plant</v>
      </c>
      <c r="D70" s="751">
        <f>'GMCO Generation'!F75</f>
        <v>0</v>
      </c>
      <c r="E70" s="751">
        <f>'GMCO Generation'!G75</f>
        <v>0</v>
      </c>
      <c r="F70" s="1028">
        <f>'GMCO Generation'!H75</f>
        <v>0</v>
      </c>
      <c r="G70" s="1021">
        <f>'GMCO Generation'!I75</f>
        <v>0</v>
      </c>
      <c r="H70" s="923" t="e">
        <f t="shared" si="0"/>
        <v>#DIV/0!</v>
      </c>
    </row>
    <row r="71" spans="1:12" s="1146" customFormat="1" x14ac:dyDescent="0.2">
      <c r="A71" s="1142">
        <v>25</v>
      </c>
      <c r="B71" s="1508"/>
      <c r="C71" s="1143" t="s">
        <v>1591</v>
      </c>
      <c r="D71" s="1144">
        <f>'GMCO Generation'!F193</f>
        <v>10872384.358909238</v>
      </c>
      <c r="E71" s="1144">
        <f>'GMCO Generation'!G193</f>
        <v>55124.72724876002</v>
      </c>
      <c r="F71" s="1141">
        <f>'GMCO Generation'!H193</f>
        <v>10817259.631660478</v>
      </c>
      <c r="G71" s="1149">
        <f>'GMCO Generation'!I193</f>
        <v>12055935.085667389</v>
      </c>
      <c r="H71" s="1145"/>
    </row>
    <row r="72" spans="1:12" x14ac:dyDescent="0.2">
      <c r="A72" s="747">
        <v>26</v>
      </c>
      <c r="B72" s="1509"/>
      <c r="C72" s="823" t="str">
        <f>'Generation Reading'!A1129</f>
        <v>Net Generation Tripura Ckt 1 &amp; 2</v>
      </c>
      <c r="D72" s="824">
        <f>'GMCO Generation'!F266</f>
        <v>25380480.000000097</v>
      </c>
      <c r="E72" s="824">
        <f>'GMCO Generation'!G266</f>
        <v>0</v>
      </c>
      <c r="F72" s="1032">
        <f>'GMCO Generation'!H266</f>
        <v>25380480.000000097</v>
      </c>
      <c r="G72" s="1150">
        <f>'GMCO Generation'!I266</f>
        <v>25853760.000000477</v>
      </c>
      <c r="H72" s="923">
        <f t="shared" si="0"/>
        <v>-1.8306041364984097E-2</v>
      </c>
    </row>
    <row r="73" spans="1:12" ht="12.75" customHeight="1" x14ac:dyDescent="0.2">
      <c r="A73" s="1501" t="s">
        <v>1360</v>
      </c>
      <c r="B73" s="1501"/>
      <c r="C73" s="1501"/>
      <c r="D73" s="1501"/>
      <c r="E73" s="1501"/>
      <c r="F73" s="1502">
        <f>SUM(F47:F72)</f>
        <v>1062391569.9486468</v>
      </c>
      <c r="G73" s="1500">
        <f>SUM(G47:G72)</f>
        <v>1090814146.223578</v>
      </c>
      <c r="H73" s="1510">
        <f>(F73-G73)/G73</f>
        <v>-2.605629599994716E-2</v>
      </c>
      <c r="L73">
        <v>1130841788.585984</v>
      </c>
    </row>
    <row r="74" spans="1:12" ht="12.75" customHeight="1" x14ac:dyDescent="0.2">
      <c r="A74" s="1486"/>
      <c r="B74" s="1486"/>
      <c r="C74" s="1486"/>
      <c r="D74" s="1486"/>
      <c r="E74" s="1486"/>
      <c r="F74" s="1487"/>
      <c r="G74" s="1488"/>
      <c r="H74" s="1510"/>
      <c r="I74" s="11">
        <f>'Generation Reading'!L598</f>
        <v>1062391569.9486467</v>
      </c>
      <c r="J74" s="571">
        <f>F73-I74</f>
        <v>0</v>
      </c>
      <c r="L74" s="11">
        <f>L73-I74</f>
        <v>68450218.637337327</v>
      </c>
    </row>
    <row r="75" spans="1:12" x14ac:dyDescent="0.2">
      <c r="A75" s="819" t="s">
        <v>1284</v>
      </c>
      <c r="B75" s="819" t="s">
        <v>17</v>
      </c>
      <c r="C75" s="819" t="s">
        <v>1282</v>
      </c>
      <c r="D75" s="819" t="s">
        <v>8</v>
      </c>
      <c r="E75" s="819" t="s">
        <v>745</v>
      </c>
      <c r="F75" s="1030" t="s">
        <v>1283</v>
      </c>
      <c r="G75" s="1020" t="s">
        <v>7</v>
      </c>
      <c r="H75" s="923"/>
    </row>
    <row r="76" spans="1:12" ht="12.75" customHeight="1" x14ac:dyDescent="0.2">
      <c r="A76" s="755">
        <v>1</v>
      </c>
      <c r="B76" s="1489" t="s">
        <v>1355</v>
      </c>
      <c r="C76" s="825" t="s">
        <v>1361</v>
      </c>
      <c r="D76" s="821">
        <f>'GMCO Generation'!F23+'GMCO Generation'!F24</f>
        <v>10893720.000000007</v>
      </c>
      <c r="E76" s="821">
        <f>'GMCO Generation'!G23+'GMCO Generation'!G24</f>
        <v>1707807.9999999842</v>
      </c>
      <c r="F76" s="1031">
        <f>'GMCO Generation'!H23+'GMCO Generation'!H24</f>
        <v>9185912.0000000224</v>
      </c>
      <c r="G76" s="1023">
        <f>'GMCO Generation'!I23+'GMCO Generation'!I24</f>
        <v>31176628.999999955</v>
      </c>
      <c r="H76" s="923">
        <f t="shared" ref="H76:H142" si="2">(F76-G76)/G76</f>
        <v>-0.70535903673228961</v>
      </c>
      <c r="I76" s="11"/>
    </row>
    <row r="77" spans="1:12" x14ac:dyDescent="0.2">
      <c r="A77" s="747">
        <v>2</v>
      </c>
      <c r="B77" s="1490"/>
      <c r="C77" s="750" t="str">
        <f>'GMCO Generation'!C39</f>
        <v>Karnaphuli Hydro PP Unit-1,2,3,4, 5 (230MW)</v>
      </c>
      <c r="D77" s="751">
        <f>'GMCO Generation'!F39</f>
        <v>119081779.9999997</v>
      </c>
      <c r="E77" s="751">
        <f>'GMCO Generation'!G39</f>
        <v>212110.10070000013</v>
      </c>
      <c r="F77" s="1028">
        <f>'GMCO Generation'!H39</f>
        <v>118869669.8992997</v>
      </c>
      <c r="G77" s="1021">
        <f>'GMCO Generation'!I39</f>
        <v>29820736.630050261</v>
      </c>
      <c r="H77" s="923">
        <f t="shared" si="2"/>
        <v>2.9861413007321596</v>
      </c>
      <c r="I77" s="11"/>
    </row>
    <row r="78" spans="1:12" x14ac:dyDescent="0.2">
      <c r="A78" s="747">
        <v>3</v>
      </c>
      <c r="B78" s="1490"/>
      <c r="C78" s="750" t="str">
        <f>'GMCO Generation'!C7</f>
        <v xml:space="preserve">60 MW Shikalbaha           </v>
      </c>
      <c r="D78" s="751">
        <f>'GMCO Generation'!F7</f>
        <v>0</v>
      </c>
      <c r="E78" s="751">
        <f>'GMCO Generation'!G7</f>
        <v>0</v>
      </c>
      <c r="F78" s="1028">
        <f>'GMCO Generation'!H7</f>
        <v>0</v>
      </c>
      <c r="G78" s="1021">
        <f>'GMCO Generation'!I7</f>
        <v>0</v>
      </c>
      <c r="H78" s="923" t="e">
        <f t="shared" si="2"/>
        <v>#DIV/0!</v>
      </c>
      <c r="I78" s="11"/>
    </row>
    <row r="79" spans="1:12" x14ac:dyDescent="0.2">
      <c r="A79" s="747">
        <v>4</v>
      </c>
      <c r="B79" s="1490"/>
      <c r="C79" s="750" t="str">
        <f>'GMCO Generation'!C165</f>
        <v xml:space="preserve">Anlima 116 MW </v>
      </c>
      <c r="D79" s="751">
        <f>'GMCO Generation'!F165</f>
        <v>1544307.8181259532</v>
      </c>
      <c r="E79" s="751">
        <f>'GMCO Generation'!G165</f>
        <v>166440.54544851507</v>
      </c>
      <c r="F79" s="1028">
        <f>'GMCO Generation'!H165</f>
        <v>1377867.2726774381</v>
      </c>
      <c r="G79" s="1021">
        <f>'GMCO Generation'!I165</f>
        <v>6370418.7270420101</v>
      </c>
      <c r="H79" s="923">
        <f t="shared" si="2"/>
        <v>-0.78370852345569031</v>
      </c>
      <c r="I79" s="11"/>
    </row>
    <row r="80" spans="1:12" x14ac:dyDescent="0.2">
      <c r="A80" s="747">
        <v>5</v>
      </c>
      <c r="B80" s="1490"/>
      <c r="C80" s="750" t="str">
        <f>'GMCO Generation'!C104</f>
        <v>Raozan 25 MW PP (RPCL)</v>
      </c>
      <c r="D80" s="751">
        <f>'GMCO Generation'!F104</f>
        <v>2177685.0000000014</v>
      </c>
      <c r="E80" s="751">
        <f>'GMCO Generation'!G104</f>
        <v>28582.199999999957</v>
      </c>
      <c r="F80" s="1028">
        <f>'GMCO Generation'!H104</f>
        <v>2149102.8000000012</v>
      </c>
      <c r="G80" s="1021">
        <f>'GMCO Generation'!I104</f>
        <v>3567538.8000000198</v>
      </c>
      <c r="H80" s="923">
        <f t="shared" si="2"/>
        <v>-0.39759511515334067</v>
      </c>
      <c r="I80" s="11"/>
    </row>
    <row r="81" spans="1:9" x14ac:dyDescent="0.2">
      <c r="A81" s="747">
        <v>6</v>
      </c>
      <c r="B81" s="1490"/>
      <c r="C81" s="750" t="str">
        <f>'GMCO Generation'!C8</f>
        <v>Shikalbaha Peaking GT 150MW</v>
      </c>
      <c r="D81" s="751">
        <f>'GMCO Generation'!F8</f>
        <v>0</v>
      </c>
      <c r="E81" s="751">
        <f>'GMCO Generation'!G8</f>
        <v>78724.799999999668</v>
      </c>
      <c r="F81" s="1028">
        <f>'GMCO Generation'!H8</f>
        <v>-78724.799999999668</v>
      </c>
      <c r="G81" s="1021">
        <f>'GMCO Generation'!I8</f>
        <v>-99345.600000000471</v>
      </c>
      <c r="H81" s="923">
        <f t="shared" si="2"/>
        <v>-0.20756631395855182</v>
      </c>
      <c r="I81" s="11"/>
    </row>
    <row r="82" spans="1:9" x14ac:dyDescent="0.2">
      <c r="A82" s="747">
        <v>7</v>
      </c>
      <c r="B82" s="1490"/>
      <c r="C82" s="750" t="str">
        <f>'GMCO Generation'!C48</f>
        <v>Hathazari 100 MW peaking PP</v>
      </c>
      <c r="D82" s="751">
        <f>'GMCO Generation'!F48</f>
        <v>9549480.0000001304</v>
      </c>
      <c r="E82" s="751">
        <f>'GMCO Generation'!G48</f>
        <v>112679.99999999958</v>
      </c>
      <c r="F82" s="1028">
        <f>'GMCO Generation'!H48</f>
        <v>9436800.0000001304</v>
      </c>
      <c r="G82" s="1021">
        <f>'GMCO Generation'!I48</f>
        <v>17064959.999999925</v>
      </c>
      <c r="H82" s="923">
        <f t="shared" si="2"/>
        <v>-0.44700720072006195</v>
      </c>
      <c r="I82" s="11"/>
    </row>
    <row r="83" spans="1:9" x14ac:dyDescent="0.2">
      <c r="A83" s="747">
        <v>8</v>
      </c>
      <c r="B83" s="1490"/>
      <c r="C83" s="750" t="str">
        <f>'GMCO Generation'!C49</f>
        <v>Dohazari -Kalaish 100 MW Peaking</v>
      </c>
      <c r="D83" s="751">
        <f>'GMCO Generation'!F49</f>
        <v>14414759.999999842</v>
      </c>
      <c r="E83" s="751">
        <f>'GMCO Generation'!G49</f>
        <v>84720.0000000008</v>
      </c>
      <c r="F83" s="1028">
        <f>'GMCO Generation'!H49</f>
        <v>14330039.999999842</v>
      </c>
      <c r="G83" s="1021">
        <f>'GMCO Generation'!I49</f>
        <v>19268640.00000022</v>
      </c>
      <c r="H83" s="923">
        <f t="shared" si="2"/>
        <v>-0.2563024686745054</v>
      </c>
      <c r="I83" s="11"/>
    </row>
    <row r="84" spans="1:9" x14ac:dyDescent="0.2">
      <c r="A84" s="747">
        <v>9</v>
      </c>
      <c r="B84" s="1490"/>
      <c r="C84" s="750" t="str">
        <f>'GMCO Generation'!C230</f>
        <v>Juldah 100 MW Unit-1 (Acorn)</v>
      </c>
      <c r="D84" s="751">
        <f>'GMCO Generation'!F230</f>
        <v>0</v>
      </c>
      <c r="E84" s="751">
        <f>'GMCO Generation'!G230</f>
        <v>0</v>
      </c>
      <c r="F84" s="1028">
        <f>'GMCO Generation'!H230</f>
        <v>0</v>
      </c>
      <c r="G84" s="1021">
        <f>'GMCO Generation'!I230</f>
        <v>0</v>
      </c>
      <c r="H84" s="923" t="e">
        <f t="shared" si="2"/>
        <v>#DIV/0!</v>
      </c>
      <c r="I84" s="11"/>
    </row>
    <row r="85" spans="1:9" x14ac:dyDescent="0.2">
      <c r="A85" s="747">
        <v>10</v>
      </c>
      <c r="B85" s="1490"/>
      <c r="C85" s="750" t="str">
        <f>'GMCO Generation'!C76</f>
        <v>Kutubdia 900KW Wind Plant</v>
      </c>
      <c r="D85" s="751">
        <f>'GMCO Generation'!F76</f>
        <v>0</v>
      </c>
      <c r="E85" s="751">
        <f>'GMCO Generation'!G76</f>
        <v>0</v>
      </c>
      <c r="F85" s="1028">
        <f>'GMCO Generation'!H76</f>
        <v>0</v>
      </c>
      <c r="G85" s="1021">
        <f>'GMCO Generation'!I76</f>
        <v>0</v>
      </c>
      <c r="H85" s="923" t="e">
        <f t="shared" si="2"/>
        <v>#DIV/0!</v>
      </c>
      <c r="I85" s="11"/>
    </row>
    <row r="86" spans="1:9" x14ac:dyDescent="0.2">
      <c r="A86" s="747">
        <v>11</v>
      </c>
      <c r="B86" s="1490"/>
      <c r="C86" s="750" t="str">
        <f>'GMCO Generation'!C136</f>
        <v>Chattogram 108 MW PP (ECPV)</v>
      </c>
      <c r="D86" s="751">
        <f>'GMCO Generation'!F136</f>
        <v>247223.99999998743</v>
      </c>
      <c r="E86" s="751">
        <f>'GMCO Generation'!G136</f>
        <v>100511.99999999937</v>
      </c>
      <c r="F86" s="1028">
        <f>'GMCO Generation'!H136</f>
        <v>146711.99999998807</v>
      </c>
      <c r="G86" s="1021">
        <f>'GMCO Generation'!I136</f>
        <v>5241527.9999997476</v>
      </c>
      <c r="H86" s="923">
        <f t="shared" si="2"/>
        <v>-0.97200968877777716</v>
      </c>
      <c r="I86" s="11"/>
    </row>
    <row r="87" spans="1:9" x14ac:dyDescent="0.2">
      <c r="A87" s="747">
        <v>12</v>
      </c>
      <c r="B87" s="1490"/>
      <c r="C87" s="750" t="str">
        <f>'GMCO Generation'!C34</f>
        <v xml:space="preserve">Shikalbaha 225 MW CCPP PS (Shamirpur)                                            </v>
      </c>
      <c r="D87" s="751">
        <f>'GMCO Generation'!F34</f>
        <v>140936731.98526761</v>
      </c>
      <c r="E87" s="751">
        <f>'GMCO Generation'!G34</f>
        <v>9961.0909087290711</v>
      </c>
      <c r="F87" s="1028">
        <f>'GMCO Generation'!H34</f>
        <v>140926770.89435887</v>
      </c>
      <c r="G87" s="1021">
        <f>'GMCO Generation'!I34</f>
        <v>76882509.808699861</v>
      </c>
      <c r="H87" s="923">
        <f t="shared" si="2"/>
        <v>0.83301470314919268</v>
      </c>
      <c r="I87" s="11"/>
    </row>
    <row r="88" spans="1:9" x14ac:dyDescent="0.2">
      <c r="A88" s="747">
        <v>13</v>
      </c>
      <c r="B88" s="1490"/>
      <c r="C88" s="750" t="str">
        <f>'GMCO Generation'!C181</f>
        <v>Teknaf  20MW PP (Solartech)</v>
      </c>
      <c r="D88" s="751">
        <f>'GMCO Generation'!F181</f>
        <v>2120080.4999999832</v>
      </c>
      <c r="E88" s="751">
        <f>'GMCO Generation'!G181</f>
        <v>9881.9999999999909</v>
      </c>
      <c r="F88" s="1028">
        <f>'GMCO Generation'!H181</f>
        <v>2110198.4999999832</v>
      </c>
      <c r="G88" s="1021">
        <f>'GMCO Generation'!I181</f>
        <v>2897194.4999999995</v>
      </c>
      <c r="H88" s="923">
        <f t="shared" si="2"/>
        <v>-0.2716407200137983</v>
      </c>
      <c r="I88" s="11"/>
    </row>
    <row r="89" spans="1:9" x14ac:dyDescent="0.2">
      <c r="A89" s="747">
        <v>14</v>
      </c>
      <c r="B89" s="1490"/>
      <c r="C89" s="750" t="str">
        <f>'GMCO Generation'!C231</f>
        <v>Juldah 100 MW PP Unit-3 (Acorn)</v>
      </c>
      <c r="D89" s="751">
        <f>'GMCO Generation'!F231</f>
        <v>29825222.399999913</v>
      </c>
      <c r="E89" s="751">
        <f>'GMCO Generation'!G231</f>
        <v>103468.79999999999</v>
      </c>
      <c r="F89" s="1028">
        <f>'GMCO Generation'!H231</f>
        <v>29721753.599999912</v>
      </c>
      <c r="G89" s="1021">
        <f>'GMCO Generation'!I231</f>
        <v>49863839.999999881</v>
      </c>
      <c r="H89" s="923">
        <f t="shared" si="2"/>
        <v>-0.40394174215222928</v>
      </c>
      <c r="I89" s="11"/>
    </row>
    <row r="90" spans="1:9" x14ac:dyDescent="0.2">
      <c r="A90" s="747">
        <v>15</v>
      </c>
      <c r="B90" s="1490"/>
      <c r="C90" s="750" t="str">
        <f>'GMCO Generation'!C233</f>
        <v>Juldah 100 MW PP Unit-2 (Acorn)</v>
      </c>
      <c r="D90" s="751">
        <f>'GMCO Generation'!F233</f>
        <v>23754624.000000041</v>
      </c>
      <c r="E90" s="751">
        <f>'GMCO Generation'!G233</f>
        <v>124896.0000000001</v>
      </c>
      <c r="F90" s="1028">
        <f>'GMCO Generation'!H233</f>
        <v>23629728.000000041</v>
      </c>
      <c r="G90" s="1021">
        <f>'GMCO Generation'!I233</f>
        <v>27091775.999999896</v>
      </c>
      <c r="H90" s="923">
        <f t="shared" si="2"/>
        <v>-0.12778962885267722</v>
      </c>
      <c r="I90" s="11"/>
    </row>
    <row r="91" spans="1:9" x14ac:dyDescent="0.2">
      <c r="A91" s="747">
        <v>16</v>
      </c>
      <c r="B91" s="1490"/>
      <c r="C91" s="750" t="str">
        <f>'GMCO Generation'!C157</f>
        <v>Sikalbaha 105 MW PP(Baraka Sikalbaha)</v>
      </c>
      <c r="D91" s="751">
        <f>'GMCO Generation'!F157</f>
        <v>13758800.622586006</v>
      </c>
      <c r="E91" s="751">
        <f>'GMCO Generation'!G157</f>
        <v>96641.817446499845</v>
      </c>
      <c r="F91" s="1028">
        <f>'GMCO Generation'!H157</f>
        <v>13662158.805139506</v>
      </c>
      <c r="G91" s="1021">
        <f>'GMCO Generation'!I157</f>
        <v>12601875.540479956</v>
      </c>
      <c r="H91" s="923">
        <f t="shared" si="2"/>
        <v>8.4136941461903064E-2</v>
      </c>
      <c r="I91" s="11"/>
    </row>
    <row r="92" spans="1:9" x14ac:dyDescent="0.2">
      <c r="A92" s="747">
        <v>17</v>
      </c>
      <c r="B92" s="1490"/>
      <c r="C92" s="750" t="str">
        <f>'GMCO Generation'!C79</f>
        <v>Kaptai 7 MW  Solar PP</v>
      </c>
      <c r="D92" s="751">
        <f>'GMCO Generation'!F79</f>
        <v>597987.60000000033</v>
      </c>
      <c r="E92" s="751">
        <f>'GMCO Generation'!G79</f>
        <v>4599.6000000000658</v>
      </c>
      <c r="F92" s="1028">
        <f>'GMCO Generation'!H79</f>
        <v>593388.00000000023</v>
      </c>
      <c r="G92" s="1021">
        <f>'GMCO Generation'!I79</f>
        <v>746724.00000000151</v>
      </c>
      <c r="H92" s="923">
        <f t="shared" si="2"/>
        <v>-0.20534494672730616</v>
      </c>
      <c r="I92" s="11"/>
    </row>
    <row r="93" spans="1:9" x14ac:dyDescent="0.2">
      <c r="A93" s="747">
        <v>18</v>
      </c>
      <c r="B93" s="1490"/>
      <c r="C93" s="750" t="str">
        <f>'GMCO Generation'!C158</f>
        <v>Anwara 300 MW PP (United)</v>
      </c>
      <c r="D93" s="751">
        <f>'GMCO Generation'!F158</f>
        <v>3945545.454402477</v>
      </c>
      <c r="E93" s="751">
        <f>'GMCO Generation'!G158</f>
        <v>228327.27271899936</v>
      </c>
      <c r="F93" s="1028">
        <f>'GMCO Generation'!H158</f>
        <v>3717218.1816834775</v>
      </c>
      <c r="G93" s="1021">
        <f>'GMCO Generation'!I158</f>
        <v>3723239.9998652614</v>
      </c>
      <c r="H93" s="923">
        <f t="shared" si="2"/>
        <v>-1.6173596604037916E-3</v>
      </c>
      <c r="I93" s="11"/>
    </row>
    <row r="94" spans="1:9" x14ac:dyDescent="0.2">
      <c r="A94" s="747">
        <v>19</v>
      </c>
      <c r="B94" s="1490"/>
      <c r="C94" s="750" t="str">
        <f>'GMCO Generation'!C159</f>
        <v>Anwara 300 MW PP (United) Circuit-2</v>
      </c>
      <c r="D94" s="751">
        <f>'GMCO Generation'!F159</f>
        <v>3958843.6362202619</v>
      </c>
      <c r="E94" s="751">
        <f>'GMCO Generation'!G159</f>
        <v>205243.63635619995</v>
      </c>
      <c r="F94" s="1028">
        <f>'GMCO Generation'!H159</f>
        <v>3753599.9998640618</v>
      </c>
      <c r="G94" s="1021">
        <f>'GMCO Generation'!I159</f>
        <v>3766396.363499824</v>
      </c>
      <c r="H94" s="923">
        <f t="shared" si="2"/>
        <v>-3.3975084937346973E-3</v>
      </c>
      <c r="I94" s="11"/>
    </row>
    <row r="95" spans="1:9" x14ac:dyDescent="0.2">
      <c r="A95" s="747">
        <v>20</v>
      </c>
      <c r="B95" s="1490"/>
      <c r="C95" s="750" t="str">
        <f>'GMCO Generation'!C155</f>
        <v xml:space="preserve">Jodiac Power (Ctg) 54.36MW </v>
      </c>
      <c r="D95" s="751">
        <f>'GMCO Generation'!F155</f>
        <v>507982.1718795452</v>
      </c>
      <c r="E95" s="751">
        <f>'GMCO Generation'!G155</f>
        <v>119558.17947899993</v>
      </c>
      <c r="F95" s="1028">
        <f>'GMCO Generation'!H155</f>
        <v>388423.99240054528</v>
      </c>
      <c r="G95" s="1021">
        <f>'GMCO Generation'!I155</f>
        <v>1727354.3298401381</v>
      </c>
      <c r="H95" s="923">
        <f t="shared" si="2"/>
        <v>-0.77513357526565341</v>
      </c>
      <c r="I95" s="11"/>
    </row>
    <row r="96" spans="1:9" x14ac:dyDescent="0.2">
      <c r="A96" s="822">
        <v>21</v>
      </c>
      <c r="B96" s="1490"/>
      <c r="C96" s="823" t="str">
        <f>'GMCO Generation'!C156</f>
        <v>Karnaphuli Power Lid. 110 MW</v>
      </c>
      <c r="D96" s="824">
        <f>'GMCO Generation'!F156</f>
        <v>7484091.2157827765</v>
      </c>
      <c r="E96" s="824">
        <f>'GMCO Generation'!G156</f>
        <v>121506.90816640043</v>
      </c>
      <c r="F96" s="1032">
        <f>'GMCO Generation'!H156</f>
        <v>7362584.3076163763</v>
      </c>
      <c r="G96" s="1150">
        <f>'GMCO Generation'!I156</f>
        <v>12737450.084902896</v>
      </c>
      <c r="H96" s="923">
        <f t="shared" si="2"/>
        <v>-0.4219734516296238</v>
      </c>
      <c r="I96" s="11"/>
    </row>
    <row r="97" spans="1:10" x14ac:dyDescent="0.2">
      <c r="A97" s="747">
        <v>22</v>
      </c>
      <c r="B97" s="1490"/>
      <c r="C97" s="823" t="str">
        <f>'GMCO Generation'!C157</f>
        <v>Sikalbaha 105 MW PP(Baraka Sikalbaha)</v>
      </c>
      <c r="D97" s="841">
        <f>'GMCO Generation'!F188</f>
        <v>766848</v>
      </c>
      <c r="E97" s="841">
        <f>'GMCO Generation'!G188</f>
        <v>0</v>
      </c>
      <c r="F97" s="1033">
        <f>'GMCO Generation'!H188</f>
        <v>766848</v>
      </c>
      <c r="G97" s="1022">
        <f>'GMCO Generation'!I188</f>
        <v>760991.99999999651</v>
      </c>
      <c r="H97" s="923">
        <f t="shared" si="2"/>
        <v>7.6952188722135308E-3</v>
      </c>
      <c r="I97" s="11"/>
    </row>
    <row r="98" spans="1:10" x14ac:dyDescent="0.2">
      <c r="A98" s="822">
        <v>23</v>
      </c>
      <c r="B98" s="1490"/>
      <c r="C98" s="823" t="str">
        <f>'GMCO Generation'!C247</f>
        <v>Matarbari 2*600MW U-1 PS</v>
      </c>
      <c r="D98" s="841">
        <f>'GMCO Generation'!F247</f>
        <v>64074564.366039254</v>
      </c>
      <c r="E98" s="841">
        <f>'GMCO Generation'!G247</f>
        <v>1784586.7055214643</v>
      </c>
      <c r="F98" s="1033">
        <f>'GMCO Generation'!H247</f>
        <v>62289977.660517789</v>
      </c>
      <c r="G98" s="1022">
        <f>'GMCO Generation'!I247</f>
        <v>173700334.55196843</v>
      </c>
      <c r="H98" s="923">
        <f t="shared" si="2"/>
        <v>-0.64139402597476525</v>
      </c>
      <c r="I98" s="11"/>
    </row>
    <row r="99" spans="1:10" x14ac:dyDescent="0.2">
      <c r="A99" s="747">
        <v>24</v>
      </c>
      <c r="B99" s="1490"/>
      <c r="C99" s="823" t="str">
        <f>'GMCO Generation'!C248</f>
        <v>Matarbari 2*600MW U-2 PS</v>
      </c>
      <c r="D99" s="841">
        <f>'GMCO Generation'!F248</f>
        <v>61862609.456865251</v>
      </c>
      <c r="E99" s="841">
        <f>'GMCO Generation'!G248</f>
        <v>1821639.018250128</v>
      </c>
      <c r="F99" s="1033">
        <f>'GMCO Generation'!H248</f>
        <v>60040970.438615121</v>
      </c>
      <c r="G99" s="1022">
        <f>'GMCO Generation'!I248</f>
        <v>173385347.64286566</v>
      </c>
      <c r="H99" s="923">
        <f t="shared" si="2"/>
        <v>-0.65371370040860755</v>
      </c>
      <c r="I99" s="11"/>
    </row>
    <row r="100" spans="1:10" x14ac:dyDescent="0.2">
      <c r="A100" s="822">
        <v>25</v>
      </c>
      <c r="B100" s="1490"/>
      <c r="C100" s="823" t="str">
        <f>'GMCO Generation'!C250</f>
        <v>SS Power I Ltd 2*612 MW Unit-1</v>
      </c>
      <c r="D100" s="841">
        <f>'GMCO Generation'!F250</f>
        <v>353777945.45159721</v>
      </c>
      <c r="E100" s="841">
        <f>'GMCO Generation'!G250</f>
        <v>0</v>
      </c>
      <c r="F100" s="1033">
        <f>'GMCO Generation'!H250</f>
        <v>353777945.45159721</v>
      </c>
      <c r="G100" s="1022">
        <f>'GMCO Generation'!I250</f>
        <v>303372490.90656334</v>
      </c>
      <c r="H100" s="923">
        <f t="shared" si="2"/>
        <v>0.16615037966826862</v>
      </c>
      <c r="I100" s="11"/>
    </row>
    <row r="101" spans="1:10" x14ac:dyDescent="0.2">
      <c r="A101" s="747">
        <v>26</v>
      </c>
      <c r="B101" s="1491"/>
      <c r="C101" s="823" t="str">
        <f>'GMCO Generation'!C251</f>
        <v>SS Power I Ltd 2*612 MW Unit-2</v>
      </c>
      <c r="D101" s="841">
        <f>'GMCO Generation'!F251</f>
        <v>349446109.0879969</v>
      </c>
      <c r="E101" s="841">
        <f>'GMCO Generation'!G251</f>
        <v>0</v>
      </c>
      <c r="F101" s="1033">
        <f>'GMCO Generation'!H251</f>
        <v>349446109.0879969</v>
      </c>
      <c r="G101" s="1022">
        <f>'GMCO Generation'!I251</f>
        <v>388815054.54221469</v>
      </c>
      <c r="H101" s="923">
        <f t="shared" si="2"/>
        <v>-0.10125365516150146</v>
      </c>
      <c r="I101" s="11"/>
    </row>
    <row r="102" spans="1:10" x14ac:dyDescent="0.2">
      <c r="A102" s="644"/>
      <c r="B102" s="1078"/>
      <c r="C102" s="1079" t="str">
        <f>'GMCO Generation'!C185</f>
        <v xml:space="preserve">US-DK Wind PP 60MW, Cox'sBazar </v>
      </c>
      <c r="D102" s="841">
        <f>'GMCO Generation'!F185</f>
        <v>14024212.799999995</v>
      </c>
      <c r="E102" s="841">
        <f>'GMCO Generation'!G185</f>
        <v>47956.800000000185</v>
      </c>
      <c r="F102" s="1033">
        <f>'GMCO Generation'!H185</f>
        <v>13976255.999999994</v>
      </c>
      <c r="G102" s="1022">
        <f>'GMCO Generation'!I185</f>
        <v>9119764.8000000007</v>
      </c>
      <c r="H102" s="923">
        <f t="shared" si="2"/>
        <v>0.5325237335068107</v>
      </c>
      <c r="I102" s="11"/>
    </row>
    <row r="103" spans="1:10" ht="12.75" customHeight="1" x14ac:dyDescent="0.2">
      <c r="A103" s="1501" t="s">
        <v>1362</v>
      </c>
      <c r="B103" s="1501"/>
      <c r="C103" s="1501"/>
      <c r="D103" s="1501"/>
      <c r="E103" s="1501"/>
      <c r="F103" s="1502">
        <f>SUM(F76:F102)</f>
        <v>1221581310.0917671</v>
      </c>
      <c r="G103" s="1500">
        <f>SUM(G76:G102)</f>
        <v>1353603450.6279919</v>
      </c>
      <c r="H103" s="1510"/>
    </row>
    <row r="104" spans="1:10" ht="12.75" customHeight="1" x14ac:dyDescent="0.2">
      <c r="A104" s="1486"/>
      <c r="B104" s="1486"/>
      <c r="C104" s="1486"/>
      <c r="D104" s="1486"/>
      <c r="E104" s="1486"/>
      <c r="F104" s="1487"/>
      <c r="G104" s="1488"/>
      <c r="H104" s="1510"/>
      <c r="I104" s="11">
        <f>'Generation Reading'!L429</f>
        <v>1221581310.0917668</v>
      </c>
      <c r="J104" s="571">
        <f>F103-I104</f>
        <v>0</v>
      </c>
    </row>
    <row r="105" spans="1:10" x14ac:dyDescent="0.2">
      <c r="A105" s="819" t="s">
        <v>1284</v>
      </c>
      <c r="B105" s="819" t="s">
        <v>17</v>
      </c>
      <c r="C105" s="819" t="s">
        <v>1282</v>
      </c>
      <c r="D105" s="819" t="s">
        <v>8</v>
      </c>
      <c r="E105" s="819" t="s">
        <v>745</v>
      </c>
      <c r="F105" s="1030" t="s">
        <v>1283</v>
      </c>
      <c r="G105" s="1020" t="s">
        <v>7</v>
      </c>
      <c r="H105" s="923"/>
    </row>
    <row r="106" spans="1:10" x14ac:dyDescent="0.2">
      <c r="A106" s="755">
        <v>1</v>
      </c>
      <c r="B106" s="1492" t="s">
        <v>1354</v>
      </c>
      <c r="C106" s="825" t="str">
        <f>'GMCO Generation'!C212</f>
        <v>Barabkunda  22 MW PP (Regent)</v>
      </c>
      <c r="D106" s="821">
        <f>'GMCO Generation'!F212</f>
        <v>0</v>
      </c>
      <c r="E106" s="821">
        <f>'GMCO Generation'!G212</f>
        <v>14400.000000000035</v>
      </c>
      <c r="F106" s="1031">
        <f>'GMCO Generation'!H212</f>
        <v>-14400.000000000035</v>
      </c>
      <c r="G106" s="1023">
        <f>'GMCO Generation'!I212</f>
        <v>-14400.000000000035</v>
      </c>
      <c r="H106" s="923">
        <f t="shared" si="2"/>
        <v>0</v>
      </c>
    </row>
    <row r="107" spans="1:10" x14ac:dyDescent="0.2">
      <c r="A107" s="747">
        <v>2</v>
      </c>
      <c r="B107" s="1493"/>
      <c r="C107" s="750" t="str">
        <f>'GMCO Generation'!C213</f>
        <v>Malancha, Ctg.EPZ (United)</v>
      </c>
      <c r="D107" s="751">
        <f>'GMCO Generation'!F213</f>
        <v>16291199.999999961</v>
      </c>
      <c r="E107" s="751">
        <f>'GMCO Generation'!G213</f>
        <v>442079.99999999837</v>
      </c>
      <c r="F107" s="1028">
        <f>'GMCO Generation'!H213</f>
        <v>15849119.999999963</v>
      </c>
      <c r="G107" s="1021">
        <f>'GMCO Generation'!I213</f>
        <v>10930080.000000089</v>
      </c>
      <c r="H107" s="923">
        <f t="shared" si="2"/>
        <v>0.45004611128187838</v>
      </c>
    </row>
    <row r="108" spans="1:10" x14ac:dyDescent="0.2">
      <c r="A108" s="747">
        <v>3</v>
      </c>
      <c r="B108" s="1493"/>
      <c r="C108" s="750" t="str">
        <f>'GMCO Generation'!C135</f>
        <v>Patenga 50MW PP (Baraka)</v>
      </c>
      <c r="D108" s="751">
        <f>'GMCO Generation'!F135</f>
        <v>4457280.0000000279</v>
      </c>
      <c r="E108" s="751">
        <f>'GMCO Generation'!G135</f>
        <v>35568.000000000669</v>
      </c>
      <c r="F108" s="1028">
        <f>'GMCO Generation'!H135</f>
        <v>4421712.000000027</v>
      </c>
      <c r="G108" s="1021">
        <f>'GMCO Generation'!I135</f>
        <v>7683840.0000001052</v>
      </c>
      <c r="H108" s="923">
        <f t="shared" si="2"/>
        <v>-0.42454397801099886</v>
      </c>
    </row>
    <row r="109" spans="1:10" x14ac:dyDescent="0.2">
      <c r="A109" s="822">
        <v>4</v>
      </c>
      <c r="B109" s="1499"/>
      <c r="C109" s="823" t="str">
        <f>'GMCO Generation'!C219</f>
        <v>BR Powergen</v>
      </c>
      <c r="D109" s="824">
        <f>'GMCO Generation'!F219</f>
        <v>2509927.2686349801</v>
      </c>
      <c r="E109" s="824">
        <f>'GMCO Generation'!G219</f>
        <v>206749.09057199952</v>
      </c>
      <c r="F109" s="1032">
        <f>'GMCO Generation'!H219</f>
        <v>2303178.1780629805</v>
      </c>
      <c r="G109" s="1150">
        <f>'GMCO Generation'!I219</f>
        <v>11653723.617362998</v>
      </c>
      <c r="H109" s="923">
        <f t="shared" si="2"/>
        <v>-0.80236547101293421</v>
      </c>
    </row>
    <row r="110" spans="1:10" x14ac:dyDescent="0.2">
      <c r="A110" s="1501" t="s">
        <v>1363</v>
      </c>
      <c r="B110" s="1501"/>
      <c r="C110" s="1501"/>
      <c r="D110" s="1501"/>
      <c r="E110" s="1501"/>
      <c r="F110" s="1502">
        <f>SUM(F106:F109)</f>
        <v>22559610.178062968</v>
      </c>
      <c r="G110" s="1500">
        <f>SUM(G106:G109)</f>
        <v>30253243.617363192</v>
      </c>
      <c r="H110" s="1510"/>
    </row>
    <row r="111" spans="1:10" x14ac:dyDescent="0.2">
      <c r="A111" s="1486"/>
      <c r="B111" s="1486"/>
      <c r="C111" s="1486"/>
      <c r="D111" s="1486"/>
      <c r="E111" s="1486"/>
      <c r="F111" s="1487"/>
      <c r="G111" s="1488"/>
      <c r="H111" s="1510"/>
      <c r="I111" s="11">
        <f>'Generation Reading'!M429</f>
        <v>22559610.178062916</v>
      </c>
      <c r="J111" s="571">
        <f>F110-I111</f>
        <v>5.2154064178466797E-8</v>
      </c>
    </row>
    <row r="112" spans="1:10" x14ac:dyDescent="0.2">
      <c r="A112" s="819" t="s">
        <v>1284</v>
      </c>
      <c r="B112" s="819" t="s">
        <v>17</v>
      </c>
      <c r="C112" s="819" t="s">
        <v>1282</v>
      </c>
      <c r="D112" s="819" t="s">
        <v>8</v>
      </c>
      <c r="E112" s="819" t="s">
        <v>745</v>
      </c>
      <c r="F112" s="1030" t="s">
        <v>1283</v>
      </c>
      <c r="G112" s="1020" t="s">
        <v>7</v>
      </c>
      <c r="H112" s="923"/>
    </row>
    <row r="113" spans="1:10" x14ac:dyDescent="0.2">
      <c r="A113" s="755">
        <v>1</v>
      </c>
      <c r="B113" s="1492" t="s">
        <v>4</v>
      </c>
      <c r="C113" s="825" t="str">
        <f>'GMCO Generation'!C9</f>
        <v>Shahjibazar GTPP Unit- 8 &amp; 9 (60MW)</v>
      </c>
      <c r="D113" s="821">
        <f>'GMCO Generation'!F9</f>
        <v>20194137.599999901</v>
      </c>
      <c r="E113" s="821">
        <f>'GMCO Generation'!G9</f>
        <v>57.599999999951024</v>
      </c>
      <c r="F113" s="1031">
        <f>'GMCO Generation'!H9</f>
        <v>20194079.999999899</v>
      </c>
      <c r="G113" s="1023">
        <f>'GMCO Generation'!I9</f>
        <v>17273587.200000066</v>
      </c>
      <c r="H113" s="923">
        <f t="shared" si="2"/>
        <v>0.16907274477416143</v>
      </c>
      <c r="J113" s="11"/>
    </row>
    <row r="114" spans="1:10" x14ac:dyDescent="0.2">
      <c r="A114" s="747">
        <v>2</v>
      </c>
      <c r="B114" s="1493"/>
      <c r="C114" s="750" t="str">
        <f>'GMCO Generation'!C32</f>
        <v>Shajibazar 330 MW CCPP</v>
      </c>
      <c r="D114" s="751">
        <f>'GMCO Generation'!F32</f>
        <v>0</v>
      </c>
      <c r="E114" s="751">
        <f>'GMCO Generation'!G32</f>
        <v>138286.80000000013</v>
      </c>
      <c r="F114" s="1028">
        <f>'GMCO Generation'!H32</f>
        <v>-138286.80000000013</v>
      </c>
      <c r="G114" s="1021">
        <f>'GMCO Generation'!I32</f>
        <v>-134643.59999999995</v>
      </c>
      <c r="H114" s="923">
        <f t="shared" si="2"/>
        <v>2.7058100050802173E-2</v>
      </c>
      <c r="J114" s="11"/>
    </row>
    <row r="115" spans="1:10" x14ac:dyDescent="0.2">
      <c r="A115" s="747">
        <v>3</v>
      </c>
      <c r="B115" s="1493"/>
      <c r="C115" s="750" t="str">
        <f>'GMCO Generation'!C33</f>
        <v>Shahjibazar 100 MW  GT-1</v>
      </c>
      <c r="D115" s="751">
        <f>'GMCO Generation'!F33</f>
        <v>138286.80000000013</v>
      </c>
      <c r="E115" s="751">
        <f>'GMCO Generation'!G33</f>
        <v>342334.09090908978</v>
      </c>
      <c r="F115" s="1028">
        <f>'GMCO Generation'!H33</f>
        <v>-204047.29090908964</v>
      </c>
      <c r="G115" s="1021">
        <f>'GMCO Generation'!I33</f>
        <v>-202107.76363636405</v>
      </c>
      <c r="H115" s="923">
        <f t="shared" si="2"/>
        <v>9.5965005887414939E-3</v>
      </c>
      <c r="J115" s="11"/>
    </row>
    <row r="116" spans="1:10" x14ac:dyDescent="0.2">
      <c r="A116" s="747">
        <v>4</v>
      </c>
      <c r="B116" s="1493"/>
      <c r="C116" s="750" t="str">
        <f>'GMCO Generation'!C37</f>
        <v>Bibiyana-III 400 MW CCPP</v>
      </c>
      <c r="D116" s="751">
        <f>'GMCO Generation'!F37</f>
        <v>255078282.36671028</v>
      </c>
      <c r="E116" s="751">
        <f>'GMCO Generation'!G37</f>
        <v>0</v>
      </c>
      <c r="F116" s="1028">
        <f>'GMCO Generation'!H37</f>
        <v>255078282.36671028</v>
      </c>
      <c r="G116" s="1021">
        <f>'GMCO Generation'!I37</f>
        <v>255597639.09400606</v>
      </c>
      <c r="H116" s="923">
        <f t="shared" si="2"/>
        <v>-2.0319308470011818E-3</v>
      </c>
      <c r="J116" s="11"/>
    </row>
    <row r="117" spans="1:10" x14ac:dyDescent="0.2">
      <c r="A117" s="747">
        <v>5</v>
      </c>
      <c r="B117" s="1493"/>
      <c r="C117" s="750" t="str">
        <f>'GMCO Generation'!C35</f>
        <v>Bibiyana South 400MW CCPP</v>
      </c>
      <c r="D117" s="751">
        <f>'GMCO Generation'!F35</f>
        <v>220465454.52340856</v>
      </c>
      <c r="E117" s="751">
        <f>'GMCO Generation'!G35</f>
        <v>2432354.5443969844</v>
      </c>
      <c r="F117" s="1028">
        <f>'GMCO Generation'!H35</f>
        <v>218033099.97901157</v>
      </c>
      <c r="G117" s="1021">
        <f>'GMCO Generation'!I35</f>
        <v>177637390.89212194</v>
      </c>
      <c r="H117" s="923">
        <f t="shared" si="2"/>
        <v>0.22740544028493237</v>
      </c>
      <c r="J117" s="11"/>
    </row>
    <row r="118" spans="1:10" x14ac:dyDescent="0.2">
      <c r="A118" s="747">
        <v>6</v>
      </c>
      <c r="B118" s="1493"/>
      <c r="C118" s="750" t="str">
        <f>'GMCO Generation'!C207</f>
        <v>Shahjibazar 86MW PP (Youth Gr)</v>
      </c>
      <c r="D118" s="751">
        <f>'GMCO Generation'!F207</f>
        <v>49516943.999999784</v>
      </c>
      <c r="E118" s="751">
        <f>'GMCO Generation'!G207</f>
        <v>4800.000000000111</v>
      </c>
      <c r="F118" s="1028">
        <f>'GMCO Generation'!H207</f>
        <v>49512143.999999784</v>
      </c>
      <c r="G118" s="1021">
        <f>'GMCO Generation'!I207</f>
        <v>54706584.000000663</v>
      </c>
      <c r="H118" s="923">
        <f t="shared" si="2"/>
        <v>-9.4950911210263403E-2</v>
      </c>
      <c r="J118" s="11"/>
    </row>
    <row r="119" spans="1:10" x14ac:dyDescent="0.2">
      <c r="A119" s="747">
        <v>7</v>
      </c>
      <c r="B119" s="1493"/>
      <c r="C119" s="752" t="s">
        <v>1366</v>
      </c>
      <c r="D119" s="751">
        <f>'GMCO Generation'!F25+'GMCO Generation'!F26</f>
        <v>32354316.000000253</v>
      </c>
      <c r="E119" s="751">
        <f>'GMCO Generation'!G25+'GMCO Generation'!G26</f>
        <v>1849248</v>
      </c>
      <c r="F119" s="1028">
        <f>'GMCO Generation'!H25+'GMCO Generation'!H26</f>
        <v>30505068.000000253</v>
      </c>
      <c r="G119" s="1021">
        <f>'GMCO Generation'!I25+'GMCO Generation'!I26</f>
        <v>40438188.000000037</v>
      </c>
      <c r="H119" s="923">
        <f t="shared" si="2"/>
        <v>-0.24563711905191635</v>
      </c>
      <c r="J119" s="11"/>
    </row>
    <row r="120" spans="1:10" x14ac:dyDescent="0.2">
      <c r="A120" s="747">
        <v>8</v>
      </c>
      <c r="B120" s="1493"/>
      <c r="C120" s="750" t="str">
        <f>'GMCO Generation'!C210</f>
        <v>Fenchugonj 51 MW PP  (Baraka)</v>
      </c>
      <c r="D120" s="751">
        <f>'GMCO Generation'!F210</f>
        <v>0</v>
      </c>
      <c r="E120" s="751">
        <f>'GMCO Generation'!G210</f>
        <v>14621.999999999869</v>
      </c>
      <c r="F120" s="1028">
        <f>'GMCO Generation'!H210</f>
        <v>-14621.999999999869</v>
      </c>
      <c r="G120" s="1021">
        <f>'GMCO Generation'!I210</f>
        <v>-7193.9999999999673</v>
      </c>
      <c r="H120" s="923">
        <f t="shared" si="2"/>
        <v>1.0325271059215924</v>
      </c>
      <c r="J120" s="11"/>
    </row>
    <row r="121" spans="1:10" x14ac:dyDescent="0.2">
      <c r="A121" s="747">
        <v>9</v>
      </c>
      <c r="B121" s="1493"/>
      <c r="C121" s="750" t="str">
        <f>'GMCO Generation'!C211</f>
        <v>Fenchuganj  50 MW (Energyprima)</v>
      </c>
      <c r="D121" s="751">
        <f>'GMCO Generation'!F211</f>
        <v>0</v>
      </c>
      <c r="E121" s="751">
        <f>'GMCO Generation'!G211</f>
        <v>38304.000000000255</v>
      </c>
      <c r="F121" s="1028">
        <f>'GMCO Generation'!H211</f>
        <v>-38304.000000000255</v>
      </c>
      <c r="G121" s="1021">
        <f>'GMCO Generation'!I211</f>
        <v>-37164.59999999978</v>
      </c>
      <c r="H121" s="923">
        <f t="shared" si="2"/>
        <v>3.0658207003451701E-2</v>
      </c>
      <c r="J121" s="11"/>
    </row>
    <row r="122" spans="1:10" x14ac:dyDescent="0.2">
      <c r="A122" s="747">
        <v>10</v>
      </c>
      <c r="B122" s="1493"/>
      <c r="C122" s="750" t="str">
        <f>'GMCO Generation'!C21</f>
        <v>Sylhet  20 MW GTPP</v>
      </c>
      <c r="D122" s="751">
        <f>'GMCO Generation'!F21</f>
        <v>4861620.0000000028</v>
      </c>
      <c r="E122" s="751">
        <f>'GMCO Generation'!G21</f>
        <v>16343.999999999998</v>
      </c>
      <c r="F122" s="1028">
        <f>'GMCO Generation'!H21</f>
        <v>4845276.0000000028</v>
      </c>
      <c r="G122" s="1021">
        <f>'GMCO Generation'!I21</f>
        <v>9312029.9999999404</v>
      </c>
      <c r="H122" s="923">
        <f t="shared" si="2"/>
        <v>-0.47967564537485019</v>
      </c>
      <c r="J122" s="11"/>
    </row>
    <row r="123" spans="1:10" x14ac:dyDescent="0.2">
      <c r="A123" s="747">
        <v>11</v>
      </c>
      <c r="B123" s="1493"/>
      <c r="C123" s="750" t="str">
        <f>'GMCO Generation'!C206</f>
        <v>Sylhet 50MW PP (Energyprima, Kumargao)</v>
      </c>
      <c r="D123" s="751">
        <f>'GMCO Generation'!F206</f>
        <v>0</v>
      </c>
      <c r="E123" s="751">
        <f>'GMCO Generation'!G206</f>
        <v>0</v>
      </c>
      <c r="F123" s="1028">
        <f>'GMCO Generation'!H206</f>
        <v>0</v>
      </c>
      <c r="G123" s="1021">
        <f>'GMCO Generation'!I206</f>
        <v>0</v>
      </c>
      <c r="H123" s="923" t="e">
        <f t="shared" si="2"/>
        <v>#DIV/0!</v>
      </c>
      <c r="J123" s="11"/>
    </row>
    <row r="124" spans="1:10" x14ac:dyDescent="0.2">
      <c r="A124" s="747">
        <v>12</v>
      </c>
      <c r="B124" s="1493"/>
      <c r="C124" s="750" t="str">
        <f>'GMCO Generation'!C209</f>
        <v>Sylhet 10MW PP (Desh, Kumargao)</v>
      </c>
      <c r="D124" s="751">
        <f>'GMCO Generation'!F209</f>
        <v>0</v>
      </c>
      <c r="E124" s="751">
        <f>'GMCO Generation'!G209</f>
        <v>2791.3500000000654</v>
      </c>
      <c r="F124" s="1028">
        <f>'GMCO Generation'!H209</f>
        <v>-2791.3500000000654</v>
      </c>
      <c r="G124" s="1021">
        <f>'GMCO Generation'!I209</f>
        <v>-10619.999999999933</v>
      </c>
      <c r="H124" s="923">
        <f t="shared" si="2"/>
        <v>-0.73716101694914471</v>
      </c>
      <c r="J124" s="11"/>
    </row>
    <row r="125" spans="1:10" x14ac:dyDescent="0.2">
      <c r="A125" s="747">
        <v>13</v>
      </c>
      <c r="B125" s="1493"/>
      <c r="C125" s="750" t="str">
        <f>'GMCO Generation'!C22</f>
        <v>Sylhet 150 MW CCPP</v>
      </c>
      <c r="D125" s="751">
        <f>'GMCO Generation'!F22</f>
        <v>96994895.999999642</v>
      </c>
      <c r="E125" s="751">
        <f>'GMCO Generation'!G22</f>
        <v>326783.99999999988</v>
      </c>
      <c r="F125" s="1028">
        <f>'GMCO Generation'!H22</f>
        <v>96668111.999999642</v>
      </c>
      <c r="G125" s="1021">
        <f>'GMCO Generation'!I22</f>
        <v>113731728.00000027</v>
      </c>
      <c r="H125" s="923">
        <f t="shared" si="2"/>
        <v>-0.15003391138135688</v>
      </c>
      <c r="J125" s="11"/>
    </row>
    <row r="126" spans="1:10" x14ac:dyDescent="0.2">
      <c r="A126" s="747">
        <v>14</v>
      </c>
      <c r="B126" s="1493"/>
      <c r="C126" s="750" t="str">
        <f>'GMCO Generation'!C123</f>
        <v>Bibiana-II 341 MW CCPP (Summit)</v>
      </c>
      <c r="D126" s="751">
        <f>'GMCO Generation'!F123</f>
        <v>213584547.99999946</v>
      </c>
      <c r="E126" s="751">
        <f>'GMCO Generation'!G123</f>
        <v>0</v>
      </c>
      <c r="F126" s="1028">
        <f>'GMCO Generation'!H123</f>
        <v>213584547.99999946</v>
      </c>
      <c r="G126" s="1021">
        <f>'GMCO Generation'!I123</f>
        <v>227590059.99999994</v>
      </c>
      <c r="H126" s="923">
        <f t="shared" si="2"/>
        <v>-6.1538329046534286E-2</v>
      </c>
      <c r="J126" s="11"/>
    </row>
    <row r="127" spans="1:10" x14ac:dyDescent="0.2">
      <c r="A127" s="747">
        <v>15</v>
      </c>
      <c r="B127" s="1493"/>
      <c r="C127" s="750" t="str">
        <f>'GMCO Generation'!C217</f>
        <v>Shahjahanulla 25 MW PP (CIPP, REB)</v>
      </c>
      <c r="D127" s="751">
        <f>'GMCO Generation'!F217</f>
        <v>0</v>
      </c>
      <c r="E127" s="751">
        <f>'GMCO Generation'!G217</f>
        <v>1862.3999999999228</v>
      </c>
      <c r="F127" s="1028">
        <f>'GMCO Generation'!H217</f>
        <v>-1862.3999999999228</v>
      </c>
      <c r="G127" s="1021">
        <f>'GMCO Generation'!I217</f>
        <v>-7785.6000000001022</v>
      </c>
      <c r="H127" s="923">
        <f t="shared" si="2"/>
        <v>-0.76078914919853335</v>
      </c>
      <c r="J127" s="11"/>
    </row>
    <row r="128" spans="1:10" x14ac:dyDescent="0.2">
      <c r="A128" s="747">
        <v>16</v>
      </c>
      <c r="B128" s="1493"/>
      <c r="C128" s="750" t="str">
        <f>'GMCO Generation'!C124</f>
        <v>Kushiara 163 MW CCPP (KPCL)</v>
      </c>
      <c r="D128" s="751">
        <f>'GMCO Generation'!F124</f>
        <v>74766706.363708541</v>
      </c>
      <c r="E128" s="751">
        <f>'GMCO Generation'!G124</f>
        <v>193827.27272746121</v>
      </c>
      <c r="F128" s="1028">
        <f>'GMCO Generation'!H124</f>
        <v>74572879.090981081</v>
      </c>
      <c r="G128" s="1021">
        <f>'GMCO Generation'!I124</f>
        <v>93884661.818272963</v>
      </c>
      <c r="H128" s="923">
        <f t="shared" si="2"/>
        <v>-0.20569688757757437</v>
      </c>
      <c r="J128" s="11"/>
    </row>
    <row r="129" spans="1:10" x14ac:dyDescent="0.2">
      <c r="A129" s="822">
        <v>17</v>
      </c>
      <c r="B129" s="1499"/>
      <c r="C129" s="823" t="str">
        <f>'GMCO Generation'!C183</f>
        <v>Shalla 400 KW Solar PS</v>
      </c>
      <c r="D129" s="824">
        <f>'GMCO Generation'!F183</f>
        <v>0</v>
      </c>
      <c r="E129" s="824">
        <f>'GMCO Generation'!G183</f>
        <v>0</v>
      </c>
      <c r="F129" s="1032">
        <f>'GMCO Generation'!H183</f>
        <v>0</v>
      </c>
      <c r="G129" s="1150">
        <f>'GMCO Generation'!I183</f>
        <v>0</v>
      </c>
      <c r="H129" s="923" t="e">
        <f t="shared" si="2"/>
        <v>#DIV/0!</v>
      </c>
      <c r="J129" s="11"/>
    </row>
    <row r="130" spans="1:10" x14ac:dyDescent="0.2">
      <c r="A130" s="1501" t="s">
        <v>1364</v>
      </c>
      <c r="B130" s="1501"/>
      <c r="C130" s="1501"/>
      <c r="D130" s="1501"/>
      <c r="E130" s="1501"/>
      <c r="F130" s="1502">
        <f>SUM(F113:F129)</f>
        <v>962593575.59579277</v>
      </c>
      <c r="G130" s="1500">
        <f>SUM(G113:G129)</f>
        <v>989772353.44076538</v>
      </c>
      <c r="H130" s="1510">
        <f t="shared" si="2"/>
        <v>-2.7459625186024326E-2</v>
      </c>
    </row>
    <row r="131" spans="1:10" x14ac:dyDescent="0.2">
      <c r="A131" s="1486"/>
      <c r="B131" s="1486"/>
      <c r="C131" s="1486"/>
      <c r="D131" s="1486"/>
      <c r="E131" s="1486"/>
      <c r="F131" s="1487"/>
      <c r="G131" s="1488"/>
      <c r="H131" s="1510"/>
      <c r="I131" s="11">
        <f>'Generation Reading'!K701</f>
        <v>962593575.59579277</v>
      </c>
      <c r="J131" s="571">
        <f>F130-I131</f>
        <v>0</v>
      </c>
    </row>
    <row r="132" spans="1:10" x14ac:dyDescent="0.2">
      <c r="A132" s="819" t="s">
        <v>1284</v>
      </c>
      <c r="B132" s="819" t="s">
        <v>17</v>
      </c>
      <c r="C132" s="819" t="s">
        <v>1282</v>
      </c>
      <c r="D132" s="819" t="s">
        <v>8</v>
      </c>
      <c r="E132" s="819" t="s">
        <v>745</v>
      </c>
      <c r="F132" s="1030" t="s">
        <v>1283</v>
      </c>
      <c r="G132" s="1020" t="s">
        <v>7</v>
      </c>
      <c r="H132" s="923"/>
    </row>
    <row r="133" spans="1:10" x14ac:dyDescent="0.2">
      <c r="A133" s="755">
        <v>1</v>
      </c>
      <c r="B133" s="1492" t="s">
        <v>196</v>
      </c>
      <c r="C133" s="825" t="str">
        <f>'GMCO Generation'!C200</f>
        <v>Tangail  22 MW PP (Doreen) (SIPP, PDB)</v>
      </c>
      <c r="D133" s="821">
        <f>'GMCO Generation'!F200</f>
        <v>0</v>
      </c>
      <c r="E133" s="821">
        <f>'GMCO Generation'!G200</f>
        <v>0</v>
      </c>
      <c r="F133" s="1031">
        <f>'GMCO Generation'!H200</f>
        <v>0</v>
      </c>
      <c r="G133" s="1023">
        <f>'GMCO Generation'!I200</f>
        <v>0</v>
      </c>
      <c r="H133" s="923" t="e">
        <f t="shared" si="2"/>
        <v>#DIV/0!</v>
      </c>
    </row>
    <row r="134" spans="1:10" x14ac:dyDescent="0.2">
      <c r="A134" s="747">
        <v>2</v>
      </c>
      <c r="B134" s="1493"/>
      <c r="C134" s="750" t="str">
        <f>'GMCO Generation'!C118</f>
        <v>RPCL 210MW CCPP (Mymensing)</v>
      </c>
      <c r="D134" s="751">
        <f>'GMCO Generation'!F118</f>
        <v>63539942.400000177</v>
      </c>
      <c r="E134" s="751">
        <f>'GMCO Generation'!G118</f>
        <v>14546275.200000152</v>
      </c>
      <c r="F134" s="1028">
        <f>'GMCO Generation'!H118</f>
        <v>48993667.200000025</v>
      </c>
      <c r="G134" s="1021">
        <f>'GMCO Generation'!I118</f>
        <v>7406361.6000002846</v>
      </c>
      <c r="H134" s="923">
        <f t="shared" si="2"/>
        <v>5.6150790153154473</v>
      </c>
    </row>
    <row r="135" spans="1:10" x14ac:dyDescent="0.2">
      <c r="A135" s="747">
        <v>3</v>
      </c>
      <c r="B135" s="1493"/>
      <c r="C135" s="750" t="str">
        <f>'GMCO Generation'!C143</f>
        <v>Jamalpur 100 MW PP (Powerpac)</v>
      </c>
      <c r="D135" s="751">
        <f>'GMCO Generation'!F143</f>
        <v>0</v>
      </c>
      <c r="E135" s="751">
        <f>'GMCO Generation'!G143</f>
        <v>82751.99999999984</v>
      </c>
      <c r="F135" s="1028">
        <f>'GMCO Generation'!H143</f>
        <v>-82751.99999999984</v>
      </c>
      <c r="G135" s="1021">
        <f>'GMCO Generation'!I143</f>
        <v>-83904.000000000568</v>
      </c>
      <c r="H135" s="923">
        <f t="shared" si="2"/>
        <v>-1.3729977116713385E-2</v>
      </c>
    </row>
    <row r="136" spans="1:10" x14ac:dyDescent="0.2">
      <c r="A136" s="747">
        <v>4</v>
      </c>
      <c r="B136" s="1493"/>
      <c r="C136" s="750" t="str">
        <f>'GMCO Generation'!C180</f>
        <v>Sarishabari 3 MW Solar Plant</v>
      </c>
      <c r="D136" s="751">
        <f>'GMCO Generation'!F180</f>
        <v>328570.80000000133</v>
      </c>
      <c r="E136" s="751">
        <f>'GMCO Generation'!G180</f>
        <v>1791.5999999999972</v>
      </c>
      <c r="F136" s="1028">
        <f>'GMCO Generation'!H180</f>
        <v>326779.20000000135</v>
      </c>
      <c r="G136" s="1021">
        <f>'GMCO Generation'!I180</f>
        <v>351804.0000000025</v>
      </c>
      <c r="H136" s="923">
        <f t="shared" si="2"/>
        <v>-7.11327898488959E-2</v>
      </c>
    </row>
    <row r="137" spans="1:10" x14ac:dyDescent="0.2">
      <c r="A137" s="747">
        <v>5</v>
      </c>
      <c r="B137" s="1493"/>
      <c r="C137" s="750" t="str">
        <f>'GMCO Generation'!C147</f>
        <v>Mymensingh 200 MW PP (United)</v>
      </c>
      <c r="D137" s="751">
        <f>'GMCO Generation'!F147</f>
        <v>79328399.99999997</v>
      </c>
      <c r="E137" s="751">
        <f>'GMCO Generation'!G147</f>
        <v>10799.999999999876</v>
      </c>
      <c r="F137" s="1028">
        <f>'GMCO Generation'!H147</f>
        <v>79317599.99999997</v>
      </c>
      <c r="G137" s="1021">
        <f>'GMCO Generation'!I147</f>
        <v>79417200</v>
      </c>
      <c r="H137" s="923">
        <f t="shared" si="2"/>
        <v>-1.2541363835545675E-3</v>
      </c>
    </row>
    <row r="138" spans="1:10" x14ac:dyDescent="0.2">
      <c r="A138" s="747">
        <v>6</v>
      </c>
      <c r="B138" s="1493"/>
      <c r="C138" s="750" t="str">
        <f>'GMCO Generation'!C153</f>
        <v>Jamalpur 115 MW PP (United)</v>
      </c>
      <c r="D138" s="751">
        <f>'GMCO Generation'!F153</f>
        <v>44369843.999999575</v>
      </c>
      <c r="E138" s="751">
        <f>'GMCO Generation'!G153</f>
        <v>10571.999999999935</v>
      </c>
      <c r="F138" s="1028">
        <f>'GMCO Generation'!H153</f>
        <v>44359271.999999575</v>
      </c>
      <c r="G138" s="1021">
        <f>'GMCO Generation'!I153</f>
        <v>43551816.000000164</v>
      </c>
      <c r="H138" s="923">
        <f t="shared" si="2"/>
        <v>1.8540122414170017E-2</v>
      </c>
    </row>
    <row r="139" spans="1:10" x14ac:dyDescent="0.2">
      <c r="A139" s="747">
        <v>7</v>
      </c>
      <c r="B139" s="1493"/>
      <c r="C139" s="752" t="str">
        <f>'GMCO Generation'!C186</f>
        <v>50MW HDFC Solar Power Plant</v>
      </c>
      <c r="D139" s="751">
        <f>'GMCO Generation'!F186</f>
        <v>7710479.9999999888</v>
      </c>
      <c r="E139" s="751">
        <f>'GMCO Generation'!G186</f>
        <v>39984.000000000182</v>
      </c>
      <c r="F139" s="1028">
        <f>'GMCO Generation'!H186</f>
        <v>7670495.9999999888</v>
      </c>
      <c r="G139" s="1021">
        <f>'GMCO Generation'!I186</f>
        <v>8242127.9999999832</v>
      </c>
      <c r="H139" s="923">
        <f t="shared" si="2"/>
        <v>-6.9354904461565697E-2</v>
      </c>
    </row>
    <row r="140" spans="1:10" x14ac:dyDescent="0.2">
      <c r="A140" s="747">
        <v>8</v>
      </c>
      <c r="B140" s="1493"/>
      <c r="C140" s="750" t="str">
        <f>'GMCO Generation'!C168</f>
        <v>22MW TPPGCL</v>
      </c>
      <c r="D140" s="751">
        <f>'GMCO Generation'!F168</f>
        <v>5498990.3999999911</v>
      </c>
      <c r="E140" s="751">
        <f>'GMCO Generation'!G168</f>
        <v>27122.399999999834</v>
      </c>
      <c r="F140" s="1028">
        <f>'GMCO Generation'!H168</f>
        <v>5471867.9999999916</v>
      </c>
      <c r="G140" s="1021">
        <f>'GMCO Generation'!I168</f>
        <v>8083509.5999999978</v>
      </c>
      <c r="H140" s="923">
        <f t="shared" si="2"/>
        <v>-0.32308263727428577</v>
      </c>
    </row>
    <row r="141" spans="1:10" x14ac:dyDescent="0.2">
      <c r="A141" s="816">
        <v>9</v>
      </c>
      <c r="B141" s="1493"/>
      <c r="C141" s="817" t="str">
        <f>'GMCO Generation'!C166</f>
        <v xml:space="preserve">Bhairab Power 54.5 MW </v>
      </c>
      <c r="D141" s="818">
        <f>'GMCO Generation'!F166</f>
        <v>8817840.0000000503</v>
      </c>
      <c r="E141" s="818">
        <f>'GMCO Generation'!G166</f>
        <v>33119.999999999869</v>
      </c>
      <c r="F141" s="1029">
        <f>'GMCO Generation'!H166</f>
        <v>8784720.0000000503</v>
      </c>
      <c r="G141" s="1024">
        <f>'GMCO Generation'!I166</f>
        <v>7411319.9999999907</v>
      </c>
      <c r="H141" s="923">
        <f t="shared" si="2"/>
        <v>0.18531111866712829</v>
      </c>
    </row>
    <row r="142" spans="1:10" x14ac:dyDescent="0.2">
      <c r="A142" s="1486" t="s">
        <v>1371</v>
      </c>
      <c r="B142" s="1486"/>
      <c r="C142" s="1486"/>
      <c r="D142" s="1486"/>
      <c r="E142" s="1486"/>
      <c r="F142" s="1487">
        <f>SUM(F133:F141)</f>
        <v>194841650.39999965</v>
      </c>
      <c r="G142" s="1488">
        <f>SUM(G133:G141)</f>
        <v>154380235.20000044</v>
      </c>
      <c r="H142" s="1510">
        <f t="shared" si="2"/>
        <v>0.26208934807996132</v>
      </c>
    </row>
    <row r="143" spans="1:10" x14ac:dyDescent="0.2">
      <c r="A143" s="1486"/>
      <c r="B143" s="1486"/>
      <c r="C143" s="1486"/>
      <c r="D143" s="1486"/>
      <c r="E143" s="1486"/>
      <c r="F143" s="1487"/>
      <c r="G143" s="1488"/>
      <c r="H143" s="1510"/>
      <c r="I143" s="11">
        <f>'Generation Reading'!K745</f>
        <v>194841650.39999959</v>
      </c>
      <c r="J143" s="571">
        <f>F142-I143</f>
        <v>0</v>
      </c>
    </row>
    <row r="144" spans="1:10" x14ac:dyDescent="0.2">
      <c r="A144" s="819" t="s">
        <v>1284</v>
      </c>
      <c r="B144" s="819" t="s">
        <v>17</v>
      </c>
      <c r="C144" s="819" t="s">
        <v>1282</v>
      </c>
      <c r="D144" s="819" t="s">
        <v>8</v>
      </c>
      <c r="E144" s="819" t="s">
        <v>745</v>
      </c>
      <c r="F144" s="1030" t="s">
        <v>1283</v>
      </c>
      <c r="G144" s="1020" t="s">
        <v>7</v>
      </c>
      <c r="H144" s="923"/>
    </row>
    <row r="145" spans="1:8" ht="12.75" customHeight="1" x14ac:dyDescent="0.2">
      <c r="A145" s="755">
        <v>1</v>
      </c>
      <c r="B145" s="1492" t="s">
        <v>1372</v>
      </c>
      <c r="C145" s="825" t="str">
        <f>'GMCO Generation'!C27</f>
        <v>Baghabari 71 MW GTPP</v>
      </c>
      <c r="D145" s="821">
        <f>'GMCO Generation'!F27</f>
        <v>3035000</v>
      </c>
      <c r="E145" s="821">
        <f>'GMCO Generation'!G27</f>
        <v>119000</v>
      </c>
      <c r="F145" s="1031">
        <f>'GMCO Generation'!H27</f>
        <v>2916000</v>
      </c>
      <c r="G145" s="1023">
        <f>'GMCO Generation'!I27</f>
        <v>-100800</v>
      </c>
      <c r="H145" s="923">
        <f t="shared" ref="H145:H213" si="3">(F145-G145)/G145</f>
        <v>-29.928571428571427</v>
      </c>
    </row>
    <row r="146" spans="1:8" x14ac:dyDescent="0.2">
      <c r="A146" s="747">
        <v>2</v>
      </c>
      <c r="B146" s="1493"/>
      <c r="C146" s="750" t="str">
        <f>'GMCO Generation'!C28</f>
        <v>Baghabari  100 MW GTPP</v>
      </c>
      <c r="D146" s="821">
        <f>'GMCO Generation'!F28</f>
        <v>0</v>
      </c>
      <c r="E146" s="821">
        <f>'GMCO Generation'!G28</f>
        <v>8250</v>
      </c>
      <c r="F146" s="1031">
        <f>'GMCO Generation'!H28</f>
        <v>-8250</v>
      </c>
      <c r="G146" s="1023">
        <f>'GMCO Generation'!I28</f>
        <v>-9520</v>
      </c>
      <c r="H146" s="923">
        <f t="shared" si="3"/>
        <v>-0.13340336134453781</v>
      </c>
    </row>
    <row r="147" spans="1:8" x14ac:dyDescent="0.2">
      <c r="A147" s="747">
        <v>3</v>
      </c>
      <c r="B147" s="1493"/>
      <c r="C147" s="750" t="str">
        <f>'GMCO Generation'!C197</f>
        <v>Bogra 22 MW PP (GBB)</v>
      </c>
      <c r="D147" s="751">
        <f>'GMCO Generation'!F197</f>
        <v>0</v>
      </c>
      <c r="E147" s="751">
        <f>'GMCO Generation'!G197</f>
        <v>671.99999999997931</v>
      </c>
      <c r="F147" s="1028">
        <f>'GMCO Generation'!H197</f>
        <v>-671.99999999997931</v>
      </c>
      <c r="G147" s="1021">
        <f>'GMCO Generation'!I197</f>
        <v>-648.00000000003524</v>
      </c>
      <c r="H147" s="923">
        <f t="shared" si="3"/>
        <v>3.7037037036948703E-2</v>
      </c>
    </row>
    <row r="148" spans="1:8" x14ac:dyDescent="0.2">
      <c r="A148" s="747">
        <v>4</v>
      </c>
      <c r="B148" s="1493"/>
      <c r="C148" s="750" t="str">
        <f>'GMCO Generation'!C47</f>
        <v>Baghabari  50 MW Peaking PP</v>
      </c>
      <c r="D148" s="751">
        <f>'GMCO Generation'!F47</f>
        <v>2364432.0000000335</v>
      </c>
      <c r="E148" s="751">
        <f>'GMCO Generation'!G47</f>
        <v>76080.000000000044</v>
      </c>
      <c r="F148" s="1028">
        <f>'GMCO Generation'!H47</f>
        <v>2288352.0000000335</v>
      </c>
      <c r="G148" s="1021">
        <f>'GMCO Generation'!I47</f>
        <v>3527999.9999999716</v>
      </c>
      <c r="H148" s="923">
        <f t="shared" si="3"/>
        <v>-0.3513741496598492</v>
      </c>
    </row>
    <row r="149" spans="1:8" x14ac:dyDescent="0.2">
      <c r="A149" s="747">
        <v>5</v>
      </c>
      <c r="B149" s="1493"/>
      <c r="C149" s="750" t="str">
        <f>'GMCO Generation'!C198</f>
        <v>Bogra 20 MW PP (Energyprima)</v>
      </c>
      <c r="D149" s="751">
        <f>'GMCO Generation'!F198</f>
        <v>0</v>
      </c>
      <c r="E149" s="751">
        <f>'GMCO Generation'!G198</f>
        <v>0</v>
      </c>
      <c r="F149" s="1028">
        <f>'GMCO Generation'!H198</f>
        <v>0</v>
      </c>
      <c r="G149" s="1021">
        <f>'GMCO Generation'!I198</f>
        <v>0</v>
      </c>
      <c r="H149" s="923" t="e">
        <f t="shared" si="3"/>
        <v>#DIV/0!</v>
      </c>
    </row>
    <row r="150" spans="1:8" x14ac:dyDescent="0.2">
      <c r="A150" s="755">
        <v>6</v>
      </c>
      <c r="B150" s="1493"/>
      <c r="C150" s="750" t="str">
        <f>'GMCO Generation'!C46</f>
        <v>Bera 70 MW Peaking PP</v>
      </c>
      <c r="D150" s="751">
        <f>'GMCO Generation'!F46</f>
        <v>400319.99999998789</v>
      </c>
      <c r="E150" s="751">
        <f>'GMCO Generation'!G46</f>
        <v>128735.99999999926</v>
      </c>
      <c r="F150" s="1028">
        <f>'GMCO Generation'!H46</f>
        <v>271583.99999998865</v>
      </c>
      <c r="G150" s="1021">
        <f>'GMCO Generation'!I46</f>
        <v>554472.00000000652</v>
      </c>
      <c r="H150" s="923">
        <f t="shared" si="3"/>
        <v>-0.51019348136608256</v>
      </c>
    </row>
    <row r="151" spans="1:8" x14ac:dyDescent="0.2">
      <c r="A151" s="747">
        <v>7</v>
      </c>
      <c r="B151" s="1493"/>
      <c r="C151" s="750" t="str">
        <f>'GMCO Generation'!C51</f>
        <v>Santahar  50 MW Peaking PP</v>
      </c>
      <c r="D151" s="751">
        <f>'GMCO Generation'!F51</f>
        <v>2507615.9999999437</v>
      </c>
      <c r="E151" s="751">
        <f>'GMCO Generation'!G51</f>
        <v>15071.999999999833</v>
      </c>
      <c r="F151" s="1028">
        <f>'GMCO Generation'!H51</f>
        <v>2492543.9999999437</v>
      </c>
      <c r="G151" s="1021">
        <f>'GMCO Generation'!I51</f>
        <v>2545440.0000000773</v>
      </c>
      <c r="H151" s="923">
        <f t="shared" si="3"/>
        <v>-2.0780690175424305E-2</v>
      </c>
    </row>
    <row r="152" spans="1:8" x14ac:dyDescent="0.2">
      <c r="A152" s="747">
        <v>8</v>
      </c>
      <c r="B152" s="1493"/>
      <c r="C152" s="750" t="str">
        <f>'GMCO Generation'!C96</f>
        <v>Sirajgonj 225MW CCPP Unit-1 (NWPGCL)</v>
      </c>
      <c r="D152" s="751">
        <f>'GMCO Generation'!F96</f>
        <v>107706532.72727309</v>
      </c>
      <c r="E152" s="751">
        <f>'GMCO Generation'!G96</f>
        <v>51039.090909090075</v>
      </c>
      <c r="F152" s="1028">
        <f>'GMCO Generation'!H96</f>
        <v>107655493.636364</v>
      </c>
      <c r="G152" s="1021">
        <f>'GMCO Generation'!I96</f>
        <v>118468922.72727272</v>
      </c>
      <c r="H152" s="923">
        <f t="shared" si="3"/>
        <v>-9.1276503930083963E-2</v>
      </c>
    </row>
    <row r="153" spans="1:8" x14ac:dyDescent="0.2">
      <c r="A153" s="747">
        <v>9</v>
      </c>
      <c r="B153" s="1493"/>
      <c r="C153" s="750" t="str">
        <f>'GMCO Generation'!C98</f>
        <v>Sirajgonj 225MW CCPP Unit-2 (NWPGCL)</v>
      </c>
      <c r="D153" s="751">
        <f>'GMCO Generation'!F98</f>
        <v>116755276.36363657</v>
      </c>
      <c r="E153" s="751">
        <f>'GMCO Generation'!G98</f>
        <v>35566.363636361719</v>
      </c>
      <c r="F153" s="1028">
        <f>'GMCO Generation'!H98</f>
        <v>116719710.00000021</v>
      </c>
      <c r="G153" s="1021">
        <f>'GMCO Generation'!I98</f>
        <v>109621575.45454511</v>
      </c>
      <c r="H153" s="923">
        <f t="shared" si="3"/>
        <v>6.4751254632336122E-2</v>
      </c>
    </row>
    <row r="154" spans="1:8" x14ac:dyDescent="0.2">
      <c r="A154" s="747">
        <v>10</v>
      </c>
      <c r="B154" s="1493"/>
      <c r="C154" s="750" t="str">
        <f>'GMCO Generation'!C100</f>
        <v>Sirajgonj 225MW CCPP Unit-3 (NWPGCL)</v>
      </c>
      <c r="D154" s="751">
        <f>'GMCO Generation'!F100</f>
        <v>34829443.636363856</v>
      </c>
      <c r="E154" s="751">
        <f>'GMCO Generation'!G100</f>
        <v>221427.27272727297</v>
      </c>
      <c r="F154" s="1028">
        <f>'GMCO Generation'!H100</f>
        <v>34608016.363636583</v>
      </c>
      <c r="G154" s="1021">
        <f>'GMCO Generation'!I100</f>
        <v>19494130.909091238</v>
      </c>
      <c r="H154" s="923">
        <f t="shared" si="3"/>
        <v>0.77530439931009532</v>
      </c>
    </row>
    <row r="155" spans="1:8" x14ac:dyDescent="0.2">
      <c r="A155" s="755">
        <v>11</v>
      </c>
      <c r="B155" s="1493"/>
      <c r="C155" s="752" t="str">
        <f>'GMCO Generation'!C125</f>
        <v>Sirajgonj 400 MW CCPP Unit-4 (Sembcorp)</v>
      </c>
      <c r="D155" s="751">
        <f>'GMCO Generation'!F125</f>
        <v>261485745.45454526</v>
      </c>
      <c r="E155" s="751">
        <f>'GMCO Generation'!G125</f>
        <v>19654.545454544219</v>
      </c>
      <c r="F155" s="1028">
        <f>'GMCO Generation'!H125</f>
        <v>261466090.90909073</v>
      </c>
      <c r="G155" s="1021">
        <f>'GMCO Generation'!I125</f>
        <v>270376290.90909153</v>
      </c>
      <c r="H155" s="923">
        <f t="shared" si="3"/>
        <v>-3.295481260594952E-2</v>
      </c>
    </row>
    <row r="156" spans="1:8" x14ac:dyDescent="0.2">
      <c r="A156" s="747">
        <v>12</v>
      </c>
      <c r="B156" s="1493"/>
      <c r="C156" s="752" t="str">
        <f>'GMCO Generation'!C176</f>
        <v>Baghabari 200 MW PP (Paramount)</v>
      </c>
      <c r="D156" s="751">
        <f>'GMCO Generation'!F176</f>
        <v>0</v>
      </c>
      <c r="E156" s="751">
        <f>'GMCO Generation'!G176</f>
        <v>0</v>
      </c>
      <c r="F156" s="1028">
        <f>'GMCO Generation'!H176</f>
        <v>0</v>
      </c>
      <c r="G156" s="1021">
        <f>'GMCO Generation'!I176</f>
        <v>0</v>
      </c>
      <c r="H156" s="923" t="e">
        <f t="shared" si="3"/>
        <v>#DIV/0!</v>
      </c>
    </row>
    <row r="157" spans="1:8" x14ac:dyDescent="0.2">
      <c r="A157" s="747">
        <v>13</v>
      </c>
      <c r="B157" s="1493"/>
      <c r="C157" s="752" t="str">
        <f>'GMCO Generation'!C162</f>
        <v>Bogra 113 MW PP (Confidence) Unit-1</v>
      </c>
      <c r="D157" s="751">
        <f>'GMCO Generation'!F162</f>
        <v>2457119.9999998501</v>
      </c>
      <c r="E157" s="751">
        <f>'GMCO Generation'!G162</f>
        <v>182591.99999999994</v>
      </c>
      <c r="F157" s="1028">
        <f>'GMCO Generation'!H162</f>
        <v>2274527.9999998501</v>
      </c>
      <c r="G157" s="1021">
        <f>'GMCO Generation'!I162</f>
        <v>8606112.0000002086</v>
      </c>
      <c r="H157" s="923">
        <f t="shared" si="3"/>
        <v>-0.73570783182930977</v>
      </c>
    </row>
    <row r="158" spans="1:8" x14ac:dyDescent="0.2">
      <c r="A158" s="747">
        <v>14</v>
      </c>
      <c r="B158" s="1493"/>
      <c r="C158" s="752" t="str">
        <f>'GMCO Generation'!C154</f>
        <v>Bogra 113 MW PP (Confidence) Unit-2</v>
      </c>
      <c r="D158" s="751">
        <f>'GMCO Generation'!F154</f>
        <v>12556416.000000026</v>
      </c>
      <c r="E158" s="751">
        <f>'GMCO Generation'!G154</f>
        <v>140736.00000000026</v>
      </c>
      <c r="F158" s="1028">
        <f>'GMCO Generation'!H154</f>
        <v>12415680.000000026</v>
      </c>
      <c r="G158" s="1021">
        <f>'GMCO Generation'!I154</f>
        <v>18732192.000000086</v>
      </c>
      <c r="H158" s="923">
        <f t="shared" si="3"/>
        <v>-0.33720089992671604</v>
      </c>
    </row>
    <row r="159" spans="1:8" x14ac:dyDescent="0.2">
      <c r="A159" s="755">
        <v>15</v>
      </c>
      <c r="B159" s="1493"/>
      <c r="C159" s="752" t="str">
        <f>'GMCO Generation'!C274</f>
        <v>Sailo Solar Power Plant Shantahar</v>
      </c>
      <c r="D159" s="751">
        <f>'GMCO Generation'!F274</f>
        <v>7041.750000000121</v>
      </c>
      <c r="E159" s="751">
        <f>'GMCO Generation'!G274</f>
        <v>0</v>
      </c>
      <c r="F159" s="1028">
        <f>'GMCO Generation'!H274</f>
        <v>7041.750000000121</v>
      </c>
      <c r="G159" s="1021">
        <f>'GMCO Generation'!I274</f>
        <v>11951.500000000084</v>
      </c>
      <c r="H159" s="923">
        <f t="shared" si="3"/>
        <v>-0.41080617495711236</v>
      </c>
    </row>
    <row r="160" spans="1:8" x14ac:dyDescent="0.2">
      <c r="A160" s="747">
        <v>16</v>
      </c>
      <c r="B160" s="1493"/>
      <c r="C160" s="752" t="str">
        <f>'GMCO Generation'!C184</f>
        <v>Sirajgonj 2MW Wind Power Plant</v>
      </c>
      <c r="D160" s="751">
        <f>'GMCO Generation'!F184</f>
        <v>1961.849999999994</v>
      </c>
      <c r="E160" s="751">
        <f>'GMCO Generation'!G184</f>
        <v>2275.8075000000163</v>
      </c>
      <c r="F160" s="1028">
        <f>'GMCO Generation'!H184</f>
        <v>-313.95750000002226</v>
      </c>
      <c r="G160" s="1021">
        <f>'GMCO Generation'!I184</f>
        <v>-1148.5124999999889</v>
      </c>
      <c r="H160" s="923">
        <f t="shared" si="3"/>
        <v>-0.72663989290493114</v>
      </c>
    </row>
    <row r="161" spans="1:10" x14ac:dyDescent="0.2">
      <c r="A161" s="816">
        <v>17</v>
      </c>
      <c r="B161" s="1493"/>
      <c r="C161" s="837" t="str">
        <f>'GMCO Generation'!C113</f>
        <v>Sirajgonj 7.6MW Solar Power Plant (NWPGCL)</v>
      </c>
      <c r="D161" s="818">
        <f>'GMCO Generation'!F113</f>
        <v>790523.39999999956</v>
      </c>
      <c r="E161" s="818">
        <f>'GMCO Generation'!G113</f>
        <v>395.39999999999242</v>
      </c>
      <c r="F161" s="1029">
        <f>'GMCO Generation'!H113</f>
        <v>790127.99999999953</v>
      </c>
      <c r="G161" s="1024">
        <f>'GMCO Generation'!I113</f>
        <v>819657.60000000114</v>
      </c>
      <c r="H161" s="923">
        <f>(F161-G161)/G161</f>
        <v>-3.6026750682238005E-2</v>
      </c>
    </row>
    <row r="162" spans="1:10" x14ac:dyDescent="0.2">
      <c r="A162" s="747">
        <v>18</v>
      </c>
      <c r="B162" s="1493"/>
      <c r="C162" s="837" t="str">
        <f>'GMCO Generation'!C112</f>
        <v>Sirajgonj NW 68 MW Solar PP</v>
      </c>
      <c r="D162" s="818">
        <f>'GMCO Generation'!F112</f>
        <v>8873280.0000000019</v>
      </c>
      <c r="E162" s="818">
        <f>'GMCO Generation'!G112</f>
        <v>52319.999999999993</v>
      </c>
      <c r="F162" s="1029">
        <f>'GMCO Generation'!H112</f>
        <v>8820960.0000000019</v>
      </c>
      <c r="G162" s="1024">
        <f>'GMCO Generation'!I112</f>
        <v>9750480</v>
      </c>
      <c r="H162" s="923">
        <f t="shared" si="3"/>
        <v>-9.5330691412114907E-2</v>
      </c>
    </row>
    <row r="163" spans="1:10" x14ac:dyDescent="0.2">
      <c r="A163" s="755">
        <v>19</v>
      </c>
      <c r="B163" s="1499"/>
      <c r="C163" s="837" t="str">
        <f>'GMCO Generation'!C191</f>
        <v>Dynamic Sun Pvt. Ltd. 100MW Solar Pabna</v>
      </c>
      <c r="D163" s="818">
        <f>'GMCO Generation'!F191</f>
        <v>17898206.400000002</v>
      </c>
      <c r="E163" s="818">
        <f>'GMCO Generation'!G191</f>
        <v>144223.19999999984</v>
      </c>
      <c r="F163" s="1029">
        <f>'GMCO Generation'!H191</f>
        <v>17753983.200000003</v>
      </c>
      <c r="G163" s="1024">
        <f>'GMCO Generation'!I191</f>
        <v>18945071.999999996</v>
      </c>
      <c r="H163" s="923">
        <f>(F163-G163)/G163</f>
        <v>-6.2870639921558155E-2</v>
      </c>
    </row>
    <row r="164" spans="1:10" ht="12.75" customHeight="1" x14ac:dyDescent="0.2">
      <c r="A164" s="1486" t="s">
        <v>1373</v>
      </c>
      <c r="B164" s="1486"/>
      <c r="C164" s="1486"/>
      <c r="D164" s="1486"/>
      <c r="E164" s="1486"/>
      <c r="F164" s="1487">
        <f>SUM(F145:F163)</f>
        <v>570470875.90159142</v>
      </c>
      <c r="G164" s="1487">
        <f>SUM(G145:G163)</f>
        <v>581342180.58750093</v>
      </c>
      <c r="H164" s="1511"/>
    </row>
    <row r="165" spans="1:10" ht="12.75" customHeight="1" x14ac:dyDescent="0.2">
      <c r="A165" s="1486"/>
      <c r="B165" s="1486"/>
      <c r="C165" s="1486"/>
      <c r="D165" s="1486"/>
      <c r="E165" s="1486"/>
      <c r="F165" s="1487"/>
      <c r="G165" s="1487"/>
      <c r="H165" s="1511"/>
      <c r="I165" s="11">
        <f>'Generation Reading'!K859</f>
        <v>570470875.90159142</v>
      </c>
      <c r="J165" s="571">
        <f>F164-I165</f>
        <v>0</v>
      </c>
    </row>
    <row r="166" spans="1:10" x14ac:dyDescent="0.2">
      <c r="A166" s="819" t="s">
        <v>1284</v>
      </c>
      <c r="B166" s="819" t="s">
        <v>17</v>
      </c>
      <c r="C166" s="819" t="s">
        <v>1282</v>
      </c>
      <c r="D166" s="819" t="s">
        <v>8</v>
      </c>
      <c r="E166" s="819" t="s">
        <v>745</v>
      </c>
      <c r="F166" s="1030" t="s">
        <v>1283</v>
      </c>
      <c r="G166" s="1020" t="s">
        <v>7</v>
      </c>
      <c r="H166" s="923"/>
    </row>
    <row r="167" spans="1:10" x14ac:dyDescent="0.2">
      <c r="A167" s="755">
        <v>1</v>
      </c>
      <c r="B167" s="1497" t="s">
        <v>0</v>
      </c>
      <c r="C167" s="825" t="str">
        <f>'GMCO Generation'!C52</f>
        <v>Katakhali 50 MW Peaking PP</v>
      </c>
      <c r="D167" s="821">
        <f>'GMCO Generation'!F52</f>
        <v>1867103.999999963</v>
      </c>
      <c r="E167" s="821">
        <f>'GMCO Generation'!G52</f>
        <v>54240.000000000211</v>
      </c>
      <c r="F167" s="1031">
        <f>'GMCO Generation'!H52</f>
        <v>1812863.9999999627</v>
      </c>
      <c r="G167" s="1023">
        <f>'GMCO Generation'!I52</f>
        <v>2353248.0000000014</v>
      </c>
      <c r="H167" s="923">
        <f t="shared" si="3"/>
        <v>-0.22963325582345692</v>
      </c>
    </row>
    <row r="168" spans="1:10" x14ac:dyDescent="0.2">
      <c r="A168" s="747">
        <v>2</v>
      </c>
      <c r="B168" s="1498"/>
      <c r="C168" s="750" t="str">
        <f>'GMCO Generation'!C232</f>
        <v>Katakhali 50 MW PP (Northern)</v>
      </c>
      <c r="D168" s="751">
        <f>'GMCO Generation'!F232</f>
        <v>0</v>
      </c>
      <c r="E168" s="751">
        <f>'GMCO Generation'!G232</f>
        <v>0</v>
      </c>
      <c r="F168" s="1028">
        <f>'GMCO Generation'!H232</f>
        <v>0</v>
      </c>
      <c r="G168" s="1021">
        <f>'GMCO Generation'!I232</f>
        <v>0</v>
      </c>
      <c r="H168" s="923" t="e">
        <f t="shared" si="3"/>
        <v>#DIV/0!</v>
      </c>
    </row>
    <row r="169" spans="1:10" x14ac:dyDescent="0.2">
      <c r="A169" s="747">
        <v>3</v>
      </c>
      <c r="B169" s="1498"/>
      <c r="C169" s="750" t="str">
        <f>'GMCO Generation'!C228</f>
        <v>Amnura 50 MW PP(Sinha)</v>
      </c>
      <c r="D169" s="751">
        <f>'GMCO Generation'!F228</f>
        <v>0</v>
      </c>
      <c r="E169" s="751">
        <f>'GMCO Generation'!G228</f>
        <v>0</v>
      </c>
      <c r="F169" s="1028">
        <f>'GMCO Generation'!H228</f>
        <v>0</v>
      </c>
      <c r="G169" s="1021">
        <f>'GMCO Generation'!I228</f>
        <v>0</v>
      </c>
      <c r="H169" s="923" t="e">
        <f t="shared" si="3"/>
        <v>#DIV/0!</v>
      </c>
    </row>
    <row r="170" spans="1:10" x14ac:dyDescent="0.2">
      <c r="A170" s="747">
        <v>4</v>
      </c>
      <c r="B170" s="1498"/>
      <c r="C170" s="750" t="str">
        <f>'GMCO Generation'!C133</f>
        <v xml:space="preserve">Natore 52 MW PP (Rajlanka) </v>
      </c>
      <c r="D170" s="751">
        <f>'GMCO Generation'!F133</f>
        <v>308764.79999991716</v>
      </c>
      <c r="E170" s="751">
        <f>'GMCO Generation'!G133</f>
        <v>49372.799999999872</v>
      </c>
      <c r="F170" s="1028">
        <f>'GMCO Generation'!H133</f>
        <v>259391.99999991729</v>
      </c>
      <c r="G170" s="1021">
        <f>'GMCO Generation'!I133</f>
        <v>2160177.6000000266</v>
      </c>
      <c r="H170" s="923">
        <f t="shared" si="3"/>
        <v>-0.87992098427466603</v>
      </c>
    </row>
    <row r="171" spans="1:10" x14ac:dyDescent="0.2">
      <c r="A171" s="816"/>
      <c r="B171" s="1498"/>
      <c r="C171" s="817" t="str">
        <f>'GMCO Generation'!C246</f>
        <v>Adani Power Plant 1496 MW</v>
      </c>
      <c r="D171" s="818">
        <f>'GMCO Generation'!F246</f>
        <v>749770745.51702714</v>
      </c>
      <c r="E171" s="818">
        <f>'GMCO Generation'!G246</f>
        <v>2184465.4547126046</v>
      </c>
      <c r="F171" s="1028">
        <f>'GMCO Generation'!H246</f>
        <v>747586280.06231451</v>
      </c>
      <c r="G171" s="1021">
        <f>'GMCO Generation'!I246</f>
        <v>861745636.43545389</v>
      </c>
      <c r="H171" s="923">
        <f t="shared" si="3"/>
        <v>-0.13247453952346191</v>
      </c>
    </row>
    <row r="172" spans="1:10" x14ac:dyDescent="0.2">
      <c r="A172" s="816">
        <v>5</v>
      </c>
      <c r="B172" s="1498"/>
      <c r="C172" s="817" t="str">
        <f>'GMCO Generation'!C57</f>
        <v>Chapainawabganj 100 MW Peaking PP</v>
      </c>
      <c r="D172" s="818">
        <f>'GMCO Generation'!F57</f>
        <v>9046800.0000000391</v>
      </c>
      <c r="E172" s="818">
        <f>'GMCO Generation'!G57</f>
        <v>157679.99999999959</v>
      </c>
      <c r="F172" s="1029">
        <f>'GMCO Generation'!H57</f>
        <v>8889120.0000000391</v>
      </c>
      <c r="G172" s="1024">
        <f>'GMCO Generation'!I57</f>
        <v>8704079.999999769</v>
      </c>
      <c r="H172" s="923">
        <f t="shared" si="3"/>
        <v>2.1258995781320369E-2</v>
      </c>
    </row>
    <row r="173" spans="1:10" x14ac:dyDescent="0.2">
      <c r="A173" s="1486" t="s">
        <v>1374</v>
      </c>
      <c r="B173" s="1486"/>
      <c r="C173" s="1486"/>
      <c r="D173" s="1486"/>
      <c r="E173" s="1486"/>
      <c r="F173" s="1487">
        <f>SUM(F167:F172)</f>
        <v>758547656.06231439</v>
      </c>
      <c r="G173" s="1488">
        <f>SUM(G167:G172)</f>
        <v>874963142.03545368</v>
      </c>
      <c r="H173" s="923">
        <f t="shared" si="3"/>
        <v>-0.13305187427931919</v>
      </c>
    </row>
    <row r="174" spans="1:10" x14ac:dyDescent="0.2">
      <c r="A174" s="1486"/>
      <c r="B174" s="1486"/>
      <c r="C174" s="1486"/>
      <c r="D174" s="1486"/>
      <c r="E174" s="1486"/>
      <c r="F174" s="1487"/>
      <c r="G174" s="1488"/>
      <c r="H174" s="923"/>
      <c r="I174" s="11">
        <f>'Generation Reading'!K772</f>
        <v>758547656.06231439</v>
      </c>
      <c r="J174" s="571">
        <f>F173-I174</f>
        <v>0</v>
      </c>
    </row>
    <row r="175" spans="1:10" x14ac:dyDescent="0.2">
      <c r="A175" s="819" t="s">
        <v>1284</v>
      </c>
      <c r="B175" s="819" t="s">
        <v>17</v>
      </c>
      <c r="C175" s="819" t="s">
        <v>1282</v>
      </c>
      <c r="D175" s="819" t="s">
        <v>8</v>
      </c>
      <c r="E175" s="819" t="s">
        <v>745</v>
      </c>
      <c r="F175" s="1030" t="s">
        <v>1283</v>
      </c>
      <c r="G175" s="1020" t="s">
        <v>7</v>
      </c>
      <c r="H175" s="923"/>
    </row>
    <row r="176" spans="1:10" ht="12.75" customHeight="1" x14ac:dyDescent="0.2">
      <c r="A176" s="755">
        <v>1</v>
      </c>
      <c r="B176" s="1494" t="s">
        <v>2</v>
      </c>
      <c r="C176" s="825" t="str">
        <f>'GMCO Generation'!C41</f>
        <v xml:space="preserve">Barapukuria TPP Unit-1 </v>
      </c>
      <c r="D176" s="821">
        <f>'GMCO Generation'!F41</f>
        <v>33494690.908544805</v>
      </c>
      <c r="E176" s="821">
        <f>'GMCO Generation'!G41</f>
        <v>7065599.9998848066</v>
      </c>
      <c r="F176" s="1031">
        <f>'GMCO Generation'!H41</f>
        <v>26429090.908659998</v>
      </c>
      <c r="G176" s="1023">
        <f>'GMCO Generation'!I41</f>
        <v>22991636.363261484</v>
      </c>
      <c r="H176" s="923">
        <f t="shared" si="3"/>
        <v>0.14950891233175775</v>
      </c>
    </row>
    <row r="177" spans="1:10" x14ac:dyDescent="0.2">
      <c r="A177" s="747">
        <v>2</v>
      </c>
      <c r="B177" s="1495"/>
      <c r="C177" s="750" t="str">
        <f>'GMCO Generation'!C42</f>
        <v>Barapukuria TPP  Unit-2</v>
      </c>
      <c r="D177" s="751">
        <f>'GMCO Generation'!F42</f>
        <v>0</v>
      </c>
      <c r="E177" s="751">
        <f>'GMCO Generation'!G42</f>
        <v>0</v>
      </c>
      <c r="F177" s="1028">
        <f>'GMCO Generation'!H42</f>
        <v>0</v>
      </c>
      <c r="G177" s="1021">
        <f>'GMCO Generation'!I42</f>
        <v>0</v>
      </c>
      <c r="H177" s="923" t="e">
        <f t="shared" si="3"/>
        <v>#DIV/0!</v>
      </c>
    </row>
    <row r="178" spans="1:10" x14ac:dyDescent="0.2">
      <c r="A178" s="747">
        <v>3</v>
      </c>
      <c r="B178" s="1495"/>
      <c r="C178" s="750" t="str">
        <f>'GMCO Generation'!C43</f>
        <v>Barapukuria 275 MW TPP Unit-3</v>
      </c>
      <c r="D178" s="751">
        <f>'GMCO Generation'!F43</f>
        <v>119775000</v>
      </c>
      <c r="E178" s="751">
        <f>'GMCO Generation'!G43</f>
        <v>278939</v>
      </c>
      <c r="F178" s="1028">
        <f>'GMCO Generation'!H43</f>
        <v>119496061</v>
      </c>
      <c r="G178" s="1021">
        <f>'GMCO Generation'!I43</f>
        <v>105410533</v>
      </c>
      <c r="H178" s="923">
        <f t="shared" si="3"/>
        <v>0.13362543191011092</v>
      </c>
    </row>
    <row r="179" spans="1:10" x14ac:dyDescent="0.2">
      <c r="A179" s="747">
        <v>4</v>
      </c>
      <c r="B179" s="1495"/>
      <c r="C179" s="750" t="str">
        <f>'GMCO Generation'!C61</f>
        <v>Rangpur 20 MW  GTPP</v>
      </c>
      <c r="D179" s="751">
        <f>'GMCO Generation'!F61</f>
        <v>26000</v>
      </c>
      <c r="E179" s="751">
        <f>'GMCO Generation'!G61</f>
        <v>23765</v>
      </c>
      <c r="F179" s="1028">
        <f>'GMCO Generation'!H61</f>
        <v>2235</v>
      </c>
      <c r="G179" s="1021">
        <f>'GMCO Generation'!I61</f>
        <v>10302</v>
      </c>
      <c r="H179" s="923">
        <f t="shared" si="3"/>
        <v>-0.78305183459522421</v>
      </c>
    </row>
    <row r="180" spans="1:10" x14ac:dyDescent="0.2">
      <c r="A180" s="747">
        <v>5</v>
      </c>
      <c r="B180" s="1495"/>
      <c r="C180" s="750" t="str">
        <f>'GMCO Generation'!C60</f>
        <v>Saidpur 20 MW GTPP</v>
      </c>
      <c r="D180" s="751">
        <f>'GMCO Generation'!F60</f>
        <v>2000</v>
      </c>
      <c r="E180" s="751">
        <f>'GMCO Generation'!G60</f>
        <v>18420</v>
      </c>
      <c r="F180" s="1028">
        <f>'GMCO Generation'!H60</f>
        <v>-16420</v>
      </c>
      <c r="G180" s="1021">
        <f>'GMCO Generation'!I60</f>
        <v>-17440</v>
      </c>
      <c r="H180" s="923">
        <f t="shared" si="3"/>
        <v>-5.8486238532110095E-2</v>
      </c>
    </row>
    <row r="181" spans="1:10" x14ac:dyDescent="0.2">
      <c r="A181" s="747">
        <v>6</v>
      </c>
      <c r="B181" s="1495"/>
      <c r="C181" s="750" t="str">
        <f>'GMCO Generation'!C160</f>
        <v xml:space="preserve">Rangpur 113 MW PP (Confidence) </v>
      </c>
      <c r="D181" s="751">
        <f>'GMCO Generation'!F160</f>
        <v>40596720.00000006</v>
      </c>
      <c r="E181" s="751">
        <f>'GMCO Generation'!G160</f>
        <v>116755.19999999835</v>
      </c>
      <c r="F181" s="1028">
        <f>'GMCO Generation'!H160</f>
        <v>40479964.800000064</v>
      </c>
      <c r="G181" s="1021">
        <f>'GMCO Generation'!I160</f>
        <v>22050662.399999883</v>
      </c>
      <c r="H181" s="923">
        <f t="shared" si="3"/>
        <v>0.83577091997019914</v>
      </c>
    </row>
    <row r="182" spans="1:10" x14ac:dyDescent="0.2">
      <c r="A182" s="747">
        <v>7</v>
      </c>
      <c r="B182" s="1495"/>
      <c r="C182" s="752" t="str">
        <f>'GMCO Generation'!C182</f>
        <v>Majipara, Tatulia 8 MW Solar PP (Sympa)</v>
      </c>
      <c r="D182" s="751">
        <f>'GMCO Generation'!F182</f>
        <v>1305252.9599999944</v>
      </c>
      <c r="E182" s="751">
        <f>'GMCO Generation'!G182</f>
        <v>3604.7999999999975</v>
      </c>
      <c r="F182" s="1028">
        <f>'GMCO Generation'!H182</f>
        <v>1301648.1599999943</v>
      </c>
      <c r="G182" s="1021">
        <f>'GMCO Generation'!I182</f>
        <v>1240141.5600000068</v>
      </c>
      <c r="H182" s="923">
        <f t="shared" si="3"/>
        <v>4.9596434781193188E-2</v>
      </c>
    </row>
    <row r="183" spans="1:10" x14ac:dyDescent="0.2">
      <c r="A183" s="747">
        <v>8</v>
      </c>
      <c r="B183" s="1495"/>
      <c r="C183" s="750" t="str">
        <f>'GMCO Generation'!C237</f>
        <v>Energypac Thakurgaon</v>
      </c>
      <c r="D183" s="751">
        <f>'GMCO Generation'!F237</f>
        <v>43523459.520000033</v>
      </c>
      <c r="E183" s="751">
        <f>'GMCO Generation'!G237</f>
        <v>46506.545280000639</v>
      </c>
      <c r="F183" s="1028">
        <f>'GMCO Generation'!H237</f>
        <v>43476952.974720031</v>
      </c>
      <c r="G183" s="1021">
        <f>'GMCO Generation'!I237</f>
        <v>28533031.025280006</v>
      </c>
      <c r="H183" s="923">
        <f t="shared" si="3"/>
        <v>0.52374113132950528</v>
      </c>
    </row>
    <row r="184" spans="1:10" x14ac:dyDescent="0.2">
      <c r="A184" s="755">
        <v>9</v>
      </c>
      <c r="B184" s="1495"/>
      <c r="C184" s="817" t="str">
        <f>'GMCO Generation'!C190</f>
        <v>Teesta Solar Ltd 200MW</v>
      </c>
      <c r="D184" s="818">
        <f>'GMCO Generation'!F190</f>
        <v>34511839.199999958</v>
      </c>
      <c r="E184" s="818">
        <f>'GMCO Generation'!G190</f>
        <v>141811.20000000048</v>
      </c>
      <c r="F184" s="1029">
        <f>'GMCO Generation'!H190</f>
        <v>34370027.999999955</v>
      </c>
      <c r="G184" s="1024">
        <f>'GMCO Generation'!I190</f>
        <v>32243436.000000026</v>
      </c>
      <c r="H184" s="923">
        <f t="shared" si="3"/>
        <v>6.5954261202184769E-2</v>
      </c>
    </row>
    <row r="185" spans="1:10" x14ac:dyDescent="0.2">
      <c r="A185" s="747">
        <v>10</v>
      </c>
      <c r="B185" s="1495"/>
      <c r="C185" s="817" t="str">
        <f>'GMCO Generation'!C192</f>
        <v>Intraco Solar Power Ltd 30MW Lalmonirhat</v>
      </c>
      <c r="D185" s="818">
        <f>'GMCO Generation'!F192</f>
        <v>5510186.9999999972</v>
      </c>
      <c r="E185" s="818">
        <f>'GMCO Generation'!G192</f>
        <v>24081.300000000087</v>
      </c>
      <c r="F185" s="1029">
        <f>'GMCO Generation'!H192</f>
        <v>5486105.6999999974</v>
      </c>
      <c r="G185" s="1024">
        <f>'GMCO Generation'!I192</f>
        <v>4994308.8</v>
      </c>
      <c r="H185" s="923">
        <f t="shared" si="3"/>
        <v>9.847146415936428E-2</v>
      </c>
    </row>
    <row r="186" spans="1:10" x14ac:dyDescent="0.2">
      <c r="A186" s="747">
        <v>11</v>
      </c>
      <c r="B186" s="1496"/>
      <c r="C186" t="str">
        <f>'GMCO Generation'!C45</f>
        <v>Saidpur 150 MW SCPP</v>
      </c>
      <c r="D186" s="11">
        <f>'GMCO Generation'!F45</f>
        <v>0</v>
      </c>
      <c r="E186" s="11">
        <f>'GMCO Generation'!G45</f>
        <v>125951.99999999999</v>
      </c>
      <c r="F186" s="11">
        <f>'GMCO Generation'!H45</f>
        <v>-125951.99999999999</v>
      </c>
      <c r="G186" s="11">
        <f>'GMCO Generation'!I45</f>
        <v>-121152.00000000003</v>
      </c>
      <c r="H186" s="923"/>
    </row>
    <row r="187" spans="1:10" x14ac:dyDescent="0.2">
      <c r="A187" s="1486" t="s">
        <v>1375</v>
      </c>
      <c r="B187" s="1486"/>
      <c r="C187" s="1486"/>
      <c r="D187" s="1486"/>
      <c r="E187" s="1486"/>
      <c r="F187" s="1487">
        <f>SUM(F176:F186)</f>
        <v>270899714.54338002</v>
      </c>
      <c r="G187" s="1488">
        <f>SUM(G176:G186)</f>
        <v>217335459.14854142</v>
      </c>
      <c r="H187" s="1510"/>
    </row>
    <row r="188" spans="1:10" x14ac:dyDescent="0.2">
      <c r="A188" s="1486"/>
      <c r="B188" s="1486"/>
      <c r="C188" s="1486"/>
      <c r="D188" s="1486"/>
      <c r="E188" s="1486"/>
      <c r="F188" s="1487"/>
      <c r="G188" s="1488"/>
      <c r="H188" s="1510"/>
      <c r="I188" s="11">
        <f>'Generation Reading'!K901</f>
        <v>270899714.54338002</v>
      </c>
      <c r="J188" s="571">
        <f>F187-I188</f>
        <v>0</v>
      </c>
    </row>
    <row r="189" spans="1:10" x14ac:dyDescent="0.2">
      <c r="A189" s="819" t="s">
        <v>1284</v>
      </c>
      <c r="B189" s="819" t="s">
        <v>17</v>
      </c>
      <c r="C189" s="819" t="s">
        <v>1282</v>
      </c>
      <c r="D189" s="819" t="s">
        <v>8</v>
      </c>
      <c r="E189" s="819" t="s">
        <v>745</v>
      </c>
      <c r="F189" s="1030" t="s">
        <v>1283</v>
      </c>
      <c r="G189" s="1020" t="s">
        <v>7</v>
      </c>
      <c r="H189" s="923"/>
    </row>
    <row r="190" spans="1:10" ht="12.75" customHeight="1" x14ac:dyDescent="0.2">
      <c r="A190" s="755">
        <v>1</v>
      </c>
      <c r="B190" s="1489" t="s">
        <v>1235</v>
      </c>
      <c r="C190" s="825" t="str">
        <f>'GMCO Generation'!C131</f>
        <v xml:space="preserve">KPCL(110 MW),U-1,Tiger-1,3(Burg)                 </v>
      </c>
      <c r="D190" s="821">
        <f>'GMCO Generation'!F131</f>
        <v>0</v>
      </c>
      <c r="E190" s="821">
        <f>'GMCO Generation'!G131</f>
        <v>0</v>
      </c>
      <c r="F190" s="1031">
        <f>'GMCO Generation'!H131</f>
        <v>0</v>
      </c>
      <c r="G190" s="1023">
        <f>'GMCO Generation'!I131</f>
        <v>0</v>
      </c>
      <c r="H190" s="923" t="e">
        <f t="shared" si="3"/>
        <v>#DIV/0!</v>
      </c>
    </row>
    <row r="191" spans="1:10" x14ac:dyDescent="0.2">
      <c r="A191" s="747">
        <v>2</v>
      </c>
      <c r="B191" s="1490"/>
      <c r="C191" s="750" t="str">
        <f>'GMCO Generation'!C55</f>
        <v xml:space="preserve">Khulna  110 MW SPS                                                </v>
      </c>
      <c r="D191" s="751">
        <f>'GMCO Generation'!F55</f>
        <v>0</v>
      </c>
      <c r="E191" s="751">
        <f>'GMCO Generation'!G55</f>
        <v>0</v>
      </c>
      <c r="F191" s="1028">
        <f>'GMCO Generation'!H55</f>
        <v>0</v>
      </c>
      <c r="G191" s="1021">
        <f>'GMCO Generation'!I55</f>
        <v>0</v>
      </c>
      <c r="H191" s="923" t="e">
        <f t="shared" si="3"/>
        <v>#DIV/0!</v>
      </c>
    </row>
    <row r="192" spans="1:10" x14ac:dyDescent="0.2">
      <c r="A192" s="747">
        <v>3</v>
      </c>
      <c r="B192" s="1490"/>
      <c r="C192" s="750" t="str">
        <f>'GMCO Generation'!C56</f>
        <v xml:space="preserve">Khulna  60 MW SPS                                                  </v>
      </c>
      <c r="D192" s="751">
        <f>'GMCO Generation'!F56</f>
        <v>0</v>
      </c>
      <c r="E192" s="751">
        <f>'GMCO Generation'!G56</f>
        <v>0</v>
      </c>
      <c r="F192" s="1028">
        <f>'GMCO Generation'!H56</f>
        <v>0</v>
      </c>
      <c r="G192" s="1021">
        <f>'GMCO Generation'!I56</f>
        <v>0</v>
      </c>
      <c r="H192" s="923" t="e">
        <f t="shared" si="3"/>
        <v>#DIV/0!</v>
      </c>
    </row>
    <row r="193" spans="1:10" x14ac:dyDescent="0.2">
      <c r="A193" s="747">
        <v>4</v>
      </c>
      <c r="B193" s="1490"/>
      <c r="C193" s="750" t="str">
        <f>'GMCO Generation'!C221</f>
        <v>Khulna 115 PP MW (KPCL-2)</v>
      </c>
      <c r="D193" s="751">
        <f>'GMCO Generation'!F221</f>
        <v>0</v>
      </c>
      <c r="E193" s="751">
        <f>'GMCO Generation'!G221</f>
        <v>0</v>
      </c>
      <c r="F193" s="1028">
        <f>'GMCO Generation'!H221</f>
        <v>0</v>
      </c>
      <c r="G193" s="1021">
        <f>'GMCO Generation'!I221</f>
        <v>0</v>
      </c>
      <c r="H193" s="923" t="e">
        <f t="shared" si="3"/>
        <v>#DIV/0!</v>
      </c>
    </row>
    <row r="194" spans="1:10" x14ac:dyDescent="0.2">
      <c r="A194" s="747">
        <v>5</v>
      </c>
      <c r="B194" s="1490"/>
      <c r="C194" s="750" t="str">
        <f>'GMCO Generation'!C108</f>
        <v>Khulna  225 MW CCPP, NWPGCL</v>
      </c>
      <c r="D194" s="751">
        <f>'GMCO Generation'!F108</f>
        <v>0</v>
      </c>
      <c r="E194" s="751">
        <f>'GMCO Generation'!G108</f>
        <v>257673.69840000154</v>
      </c>
      <c r="F194" s="1028">
        <f>'GMCO Generation'!H108</f>
        <v>-257673.69840000154</v>
      </c>
      <c r="G194" s="1021">
        <f>'GMCO Generation'!I108</f>
        <v>-262124.77259999854</v>
      </c>
      <c r="H194" s="923">
        <f t="shared" si="3"/>
        <v>-1.6980746061683108E-2</v>
      </c>
    </row>
    <row r="195" spans="1:10" x14ac:dyDescent="0.2">
      <c r="A195" s="747">
        <v>6</v>
      </c>
      <c r="B195" s="1490"/>
      <c r="C195" s="750" t="str">
        <f>'GMCO Generation'!C149</f>
        <v>Rupsha 105 MW PP (Orion rupsha)</v>
      </c>
      <c r="D195" s="751">
        <f>'GMCO Generation'!F149</f>
        <v>5802239.9999999832</v>
      </c>
      <c r="E195" s="751">
        <f>'GMCO Generation'!G149</f>
        <v>159120.00000000006</v>
      </c>
      <c r="F195" s="1028">
        <f>'GMCO Generation'!H149</f>
        <v>5643119.9999999832</v>
      </c>
      <c r="G195" s="1021">
        <f>'GMCO Generation'!I149</f>
        <v>8531615.9999999255</v>
      </c>
      <c r="H195" s="923">
        <f t="shared" si="3"/>
        <v>-0.33856376095688878</v>
      </c>
    </row>
    <row r="196" spans="1:10" x14ac:dyDescent="0.2">
      <c r="A196" s="747">
        <v>7</v>
      </c>
      <c r="B196" s="1490"/>
      <c r="C196" s="752" t="str">
        <f>'GMCO Generation'!C110</f>
        <v>Modhumati 105 MW PP, NWPGCL</v>
      </c>
      <c r="D196" s="751">
        <f>'GMCO Generation'!F110</f>
        <v>1470384.0000000673</v>
      </c>
      <c r="E196" s="751">
        <f>'GMCO Generation'!G110</f>
        <v>145439.99999999997</v>
      </c>
      <c r="F196" s="1028">
        <f>'GMCO Generation'!H110</f>
        <v>1324944.0000000673</v>
      </c>
      <c r="G196" s="1021">
        <f>'GMCO Generation'!I110</f>
        <v>1146240.0000000771</v>
      </c>
      <c r="H196" s="923">
        <f t="shared" si="3"/>
        <v>0.15590452261304633</v>
      </c>
    </row>
    <row r="197" spans="1:10" x14ac:dyDescent="0.2">
      <c r="A197" s="747">
        <v>8</v>
      </c>
      <c r="B197" s="1490"/>
      <c r="C197" s="750" t="str">
        <f>'GMCO Generation'!C189</f>
        <v>ERBL Solar 100 MW Mongla</v>
      </c>
      <c r="D197" s="751">
        <f>'GMCO Generation'!F189</f>
        <v>15263200.800000004</v>
      </c>
      <c r="E197" s="751">
        <f>'GMCO Generation'!G189</f>
        <v>51976.799999999981</v>
      </c>
      <c r="F197" s="1028">
        <f>'GMCO Generation'!H189</f>
        <v>15211224.000000004</v>
      </c>
      <c r="G197" s="1021">
        <f>'GMCO Generation'!I189</f>
        <v>18377330.400000025</v>
      </c>
      <c r="H197" s="923">
        <f t="shared" si="3"/>
        <v>-0.17228326046747336</v>
      </c>
    </row>
    <row r="198" spans="1:10" x14ac:dyDescent="0.2">
      <c r="A198" s="816">
        <v>9</v>
      </c>
      <c r="B198" s="1490"/>
      <c r="C198" s="817" t="str">
        <f>'GMCO Generation'!C244</f>
        <v>Rampal Coal Power Plant 1320 MW</v>
      </c>
      <c r="D198" s="818">
        <f>'GMCO Generation'!F244</f>
        <v>633153163.63636374</v>
      </c>
      <c r="E198" s="818">
        <f>'GMCO Generation'!G244</f>
        <v>1603571.81818182</v>
      </c>
      <c r="F198" s="1029">
        <f>'GMCO Generation'!H244</f>
        <v>631549591.81818187</v>
      </c>
      <c r="G198" s="1024">
        <f>'GMCO Generation'!I244</f>
        <v>548537596.81818235</v>
      </c>
      <c r="H198" s="923">
        <f t="shared" si="3"/>
        <v>0.15133328231558682</v>
      </c>
    </row>
    <row r="199" spans="1:10" x14ac:dyDescent="0.2">
      <c r="A199" s="747">
        <v>10</v>
      </c>
      <c r="B199" s="1490"/>
      <c r="C199" s="365" t="s">
        <v>1399</v>
      </c>
      <c r="D199" s="11">
        <f>'Generation Reading'!K978</f>
        <v>0</v>
      </c>
      <c r="E199" s="11">
        <f>'Generation Reading'!K981</f>
        <v>872268.22545455012</v>
      </c>
      <c r="F199" s="1025">
        <f>'GMCO Generation'!H36</f>
        <v>-872268.22545455012</v>
      </c>
      <c r="G199" s="1025">
        <f>'GMCO Generation'!I36</f>
        <v>-904877.95999999635</v>
      </c>
      <c r="H199" s="923">
        <f t="shared" si="3"/>
        <v>-3.6037715567131687E-2</v>
      </c>
    </row>
    <row r="200" spans="1:10" x14ac:dyDescent="0.2">
      <c r="A200" s="644"/>
      <c r="B200" s="1491"/>
      <c r="C200" s="365" t="str">
        <f>'GMCO Generation'!C101</f>
        <v xml:space="preserve"> Rupsha 800 MW NWPGCL Khulna.</v>
      </c>
      <c r="D200" s="11">
        <f>'GMCO Generation'!F101</f>
        <v>0</v>
      </c>
      <c r="E200" s="1215">
        <f>'GMCO Generation'!G101</f>
        <v>290720.00000000012</v>
      </c>
      <c r="F200" s="1025">
        <f>'GMCO Generation'!H101</f>
        <v>-290720.00000000012</v>
      </c>
      <c r="G200" s="1025"/>
      <c r="H200" s="923"/>
    </row>
    <row r="201" spans="1:10" x14ac:dyDescent="0.2">
      <c r="A201" s="1486" t="s">
        <v>1376</v>
      </c>
      <c r="B201" s="1486"/>
      <c r="C201" s="1486"/>
      <c r="D201" s="1486"/>
      <c r="E201" s="1486"/>
      <c r="F201" s="1487">
        <f>SUM(F190:F200)</f>
        <v>652308217.8943274</v>
      </c>
      <c r="G201" s="1488">
        <f>SUM(G190:G200)</f>
        <v>575425780.48558235</v>
      </c>
      <c r="H201" s="1510"/>
    </row>
    <row r="202" spans="1:10" x14ac:dyDescent="0.2">
      <c r="A202" s="1486"/>
      <c r="B202" s="1486"/>
      <c r="C202" s="1486"/>
      <c r="D202" s="1486"/>
      <c r="E202" s="1486"/>
      <c r="F202" s="1487"/>
      <c r="G202" s="1488"/>
      <c r="H202" s="1510"/>
      <c r="I202" s="11">
        <f>'Generation Reading'!K990</f>
        <v>652308217.8943274</v>
      </c>
      <c r="J202" s="571">
        <f>F201-I202</f>
        <v>0</v>
      </c>
    </row>
    <row r="203" spans="1:10" x14ac:dyDescent="0.2">
      <c r="A203" s="819" t="s">
        <v>1284</v>
      </c>
      <c r="B203" s="819" t="s">
        <v>17</v>
      </c>
      <c r="C203" s="819" t="s">
        <v>1282</v>
      </c>
      <c r="D203" s="819" t="s">
        <v>8</v>
      </c>
      <c r="E203" s="819" t="s">
        <v>745</v>
      </c>
      <c r="F203" s="1030" t="s">
        <v>1283</v>
      </c>
      <c r="G203" s="1020" t="s">
        <v>7</v>
      </c>
      <c r="H203" s="923"/>
    </row>
    <row r="204" spans="1:10" x14ac:dyDescent="0.2">
      <c r="A204" s="755">
        <v>1</v>
      </c>
      <c r="B204" s="1492" t="s">
        <v>1236</v>
      </c>
      <c r="C204" s="750" t="str">
        <f>'GMCO Generation'!C256</f>
        <v xml:space="preserve">Bheramara RPP (Quantum) 110MW                                      </v>
      </c>
      <c r="D204" s="821">
        <f>'GMCO Generation'!F256</f>
        <v>0</v>
      </c>
      <c r="E204" s="821">
        <f>'GMCO Generation'!G256</f>
        <v>0</v>
      </c>
      <c r="F204" s="1031">
        <f>'GMCO Generation'!H256</f>
        <v>0</v>
      </c>
      <c r="G204" s="1023">
        <f>'GMCO Generation'!I256</f>
        <v>0</v>
      </c>
      <c r="H204" s="923" t="e">
        <f t="shared" si="3"/>
        <v>#DIV/0!</v>
      </c>
    </row>
    <row r="205" spans="1:10" x14ac:dyDescent="0.2">
      <c r="A205" s="747">
        <v>2</v>
      </c>
      <c r="B205" s="1493"/>
      <c r="C205" s="750" t="str">
        <f>'GMCO Generation'!C223</f>
        <v xml:space="preserve">Quantum Noapara (105 MW)                                   </v>
      </c>
      <c r="D205" s="751">
        <f>'GMCO Generation'!F223</f>
        <v>0</v>
      </c>
      <c r="E205" s="751">
        <f>'GMCO Generation'!G223</f>
        <v>0</v>
      </c>
      <c r="F205" s="1028">
        <f>'GMCO Generation'!H223</f>
        <v>0</v>
      </c>
      <c r="G205" s="1021">
        <f>'GMCO Generation'!I223</f>
        <v>0</v>
      </c>
      <c r="H205" s="923" t="e">
        <f t="shared" si="3"/>
        <v>#DIV/0!</v>
      </c>
    </row>
    <row r="206" spans="1:10" x14ac:dyDescent="0.2">
      <c r="A206" s="747">
        <v>3</v>
      </c>
      <c r="B206" s="1493"/>
      <c r="C206" s="750" t="str">
        <f>'GMCO Generation'!C222</f>
        <v>Noapara 40 MW PP (Khanjahan Ali)</v>
      </c>
      <c r="D206" s="751">
        <f>'GMCO Generation'!F222</f>
        <v>0</v>
      </c>
      <c r="E206" s="751">
        <f>'GMCO Generation'!G222</f>
        <v>0</v>
      </c>
      <c r="F206" s="1028">
        <f>'GMCO Generation'!H222</f>
        <v>0</v>
      </c>
      <c r="G206" s="1021">
        <f>'GMCO Generation'!I222</f>
        <v>-4828.124999999739</v>
      </c>
      <c r="H206" s="923">
        <f t="shared" si="3"/>
        <v>-1</v>
      </c>
    </row>
    <row r="207" spans="1:10" x14ac:dyDescent="0.2">
      <c r="A207" s="747">
        <v>4</v>
      </c>
      <c r="B207" s="1493"/>
      <c r="C207" s="750" t="str">
        <f>'GMCO Generation'!C59</f>
        <v>Bheramara GT PP Unit-1,2 &amp; 3</v>
      </c>
      <c r="D207" s="751">
        <f>'GMCO Generation'!F59</f>
        <v>-42263.999999999869</v>
      </c>
      <c r="E207" s="751">
        <f>'GMCO Generation'!G59</f>
        <v>0</v>
      </c>
      <c r="F207" s="1028">
        <f>'GMCO Generation'!H59</f>
        <v>-42263.999999999869</v>
      </c>
      <c r="G207" s="1021">
        <f>'GMCO Generation'!I59</f>
        <v>-44280.000000000276</v>
      </c>
      <c r="H207" s="923">
        <f t="shared" si="3"/>
        <v>-4.5528455284561765E-2</v>
      </c>
    </row>
    <row r="208" spans="1:10" x14ac:dyDescent="0.2">
      <c r="A208" s="747">
        <v>5</v>
      </c>
      <c r="B208" s="1493"/>
      <c r="C208" s="750" t="str">
        <f>'GMCO Generation'!C97</f>
        <v>Bheramara 360 MW  CCPP, NWPGCL</v>
      </c>
      <c r="D208" s="751">
        <f>'GMCO Generation'!F97</f>
        <v>164718873.77599934</v>
      </c>
      <c r="E208" s="751">
        <f>'GMCO Generation'!G97</f>
        <v>1835481.6000000301</v>
      </c>
      <c r="F208" s="1028">
        <f>'GMCO Generation'!H97</f>
        <v>162883392.17599931</v>
      </c>
      <c r="G208" s="1021">
        <f>'GMCO Generation'!I97</f>
        <v>102551312.87200013</v>
      </c>
      <c r="H208" s="923">
        <f t="shared" si="3"/>
        <v>0.58831113531723322</v>
      </c>
    </row>
    <row r="209" spans="1:10" x14ac:dyDescent="0.2">
      <c r="A209" s="747">
        <v>6</v>
      </c>
      <c r="B209" s="1493"/>
      <c r="C209" s="750" t="str">
        <f>'GMCO Generation'!C173</f>
        <v>Noapara 100 MW PP (Bangla Trac)</v>
      </c>
      <c r="D209" s="751">
        <f>'GMCO Generation'!F173</f>
        <v>0</v>
      </c>
      <c r="E209" s="751">
        <f>'GMCO Generation'!G173</f>
        <v>0</v>
      </c>
      <c r="F209" s="1028">
        <f>'GMCO Generation'!H173</f>
        <v>0</v>
      </c>
      <c r="G209" s="1021">
        <f>'GMCO Generation'!I173</f>
        <v>0</v>
      </c>
      <c r="H209" s="923" t="e">
        <f>(F209-G209)/G209</f>
        <v>#DIV/0!</v>
      </c>
    </row>
    <row r="210" spans="1:10" x14ac:dyDescent="0.2">
      <c r="A210" s="747">
        <v>7</v>
      </c>
      <c r="B210" s="1493"/>
      <c r="C210" s="752" t="str">
        <f>'GMCO Generation'!C275</f>
        <v>BRB Solar (Net Metering)</v>
      </c>
      <c r="D210" s="751">
        <f>'GMCO Generation'!F275</f>
        <v>245849.99999999991</v>
      </c>
      <c r="E210" s="751">
        <f>'GMCO Generation'!G275</f>
        <v>0</v>
      </c>
      <c r="F210" s="1028">
        <f>'GMCO Generation'!H275</f>
        <v>245849.99999999991</v>
      </c>
      <c r="G210" s="1021">
        <f>'GMCO Generation'!I275</f>
        <v>96599.999999999753</v>
      </c>
      <c r="H210" s="923">
        <f t="shared" ref="H210:H212" si="4">(F210-G210)/G210</f>
        <v>1.5450310559006268</v>
      </c>
    </row>
    <row r="211" spans="1:10" x14ac:dyDescent="0.2">
      <c r="A211" s="816"/>
      <c r="B211" s="1493"/>
      <c r="C211" s="837" t="str">
        <f>'GMCO Generation'!C276</f>
        <v>Akiz Jute Mills Ltd. Solar (Net Metering)</v>
      </c>
      <c r="D211" s="818">
        <f>'GMCO Generation'!F276</f>
        <v>47724</v>
      </c>
      <c r="E211" s="818">
        <f>'GMCO Generation'!G276</f>
        <v>0</v>
      </c>
      <c r="F211" s="1029">
        <f>'GMCO Generation'!H276</f>
        <v>47724</v>
      </c>
      <c r="G211" s="1024">
        <f>'GMCO Generation'!I276</f>
        <v>0</v>
      </c>
      <c r="H211" s="923"/>
    </row>
    <row r="212" spans="1:10" x14ac:dyDescent="0.2">
      <c r="A212" s="816">
        <v>8</v>
      </c>
      <c r="B212" s="1493"/>
      <c r="C212" s="838" t="s">
        <v>1380</v>
      </c>
      <c r="D212" s="818">
        <f>'GMCO Generation'!F265+'GMCO Generation'!F268+'GMCO Generation'!F270+'GMCO Generation'!F271</f>
        <v>613127272.72727156</v>
      </c>
      <c r="E212" s="818">
        <f>'GMCO Generation'!G265+'GMCO Generation'!G268+'GMCO Generation'!G270+'GMCO Generation'!G271</f>
        <v>0</v>
      </c>
      <c r="F212" s="1029">
        <f>'GMCO Generation'!H265+'GMCO Generation'!H268+'GMCO Generation'!H270+'GMCO Generation'!H271</f>
        <v>613127272.72727156</v>
      </c>
      <c r="G212" s="1024">
        <f>'GMCO Generation'!I265+'GMCO Generation'!I268+'GMCO Generation'!I270+'GMCO Generation'!I271</f>
        <v>672647272.72727633</v>
      </c>
      <c r="H212" s="923">
        <f t="shared" si="4"/>
        <v>-8.8486198358730353E-2</v>
      </c>
    </row>
    <row r="213" spans="1:10" x14ac:dyDescent="0.2">
      <c r="A213" s="1486" t="s">
        <v>1377</v>
      </c>
      <c r="B213" s="1486"/>
      <c r="C213" s="1486"/>
      <c r="D213" s="1486"/>
      <c r="E213" s="1486"/>
      <c r="F213" s="1487">
        <f>SUM(F204:F212)</f>
        <v>776261974.90327084</v>
      </c>
      <c r="G213" s="1488">
        <f>SUM(G204:G212)</f>
        <v>775246077.47427642</v>
      </c>
      <c r="H213" s="923">
        <f t="shared" si="3"/>
        <v>1.3104193088008572E-3</v>
      </c>
    </row>
    <row r="214" spans="1:10" x14ac:dyDescent="0.2">
      <c r="A214" s="1486"/>
      <c r="B214" s="1486"/>
      <c r="C214" s="1486"/>
      <c r="D214" s="1486"/>
      <c r="E214" s="1486"/>
      <c r="F214" s="1487"/>
      <c r="G214" s="1488"/>
      <c r="H214" s="923"/>
      <c r="I214" s="11">
        <f>'Generation Reading'!L1027</f>
        <v>776261974.90327084</v>
      </c>
      <c r="J214" s="571">
        <f>F213-I214</f>
        <v>0</v>
      </c>
    </row>
    <row r="215" spans="1:10" x14ac:dyDescent="0.2">
      <c r="A215" s="819" t="s">
        <v>1284</v>
      </c>
      <c r="B215" s="819" t="s">
        <v>17</v>
      </c>
      <c r="C215" s="819" t="s">
        <v>1282</v>
      </c>
      <c r="D215" s="819" t="s">
        <v>8</v>
      </c>
      <c r="E215" s="819" t="s">
        <v>745</v>
      </c>
      <c r="F215" s="1030" t="s">
        <v>1283</v>
      </c>
      <c r="G215" s="1020" t="s">
        <v>7</v>
      </c>
      <c r="H215" s="923"/>
    </row>
    <row r="216" spans="1:10" x14ac:dyDescent="0.2">
      <c r="A216" s="1206"/>
      <c r="B216" s="1489" t="s">
        <v>1288</v>
      </c>
      <c r="C216" s="1207" t="str">
        <f>'GMCO Generation'!C78</f>
        <v>Barisal 1 MWp  Solar PP</v>
      </c>
      <c r="D216" s="1208">
        <f>'GMCO Generation'!F78</f>
        <v>99406.50000000096</v>
      </c>
      <c r="E216" s="1208">
        <f>'GMCO Generation'!G78</f>
        <v>10092.500000000027</v>
      </c>
      <c r="F216" s="1209">
        <f>'GMCO Generation'!H78</f>
        <v>89314.000000000931</v>
      </c>
      <c r="G216" s="1210">
        <f>'GMCO Generation'!I78</f>
        <v>106273.00000000132</v>
      </c>
      <c r="H216" s="923"/>
      <c r="I216">
        <v>89058.500000000073</v>
      </c>
      <c r="J216" s="11">
        <f>F216-I216</f>
        <v>255.50000000085856</v>
      </c>
    </row>
    <row r="217" spans="1:10" ht="12.75" customHeight="1" x14ac:dyDescent="0.2">
      <c r="A217" s="755">
        <v>1</v>
      </c>
      <c r="B217" s="1490"/>
      <c r="C217" s="825" t="str">
        <f>'GMCO Generation'!C62</f>
        <v>Barisal GT PP Unit-1&amp; 2 (2x20)</v>
      </c>
      <c r="D217" s="821">
        <f>'GMCO Generation'!F62</f>
        <v>0</v>
      </c>
      <c r="E217" s="821">
        <f>'GMCO Generation'!G62</f>
        <v>0</v>
      </c>
      <c r="F217" s="1034">
        <f>'GMCO Generation'!H62</f>
        <v>0</v>
      </c>
      <c r="G217" s="1035">
        <f>'GMCO Generation'!I62</f>
        <v>0</v>
      </c>
      <c r="H217" s="923" t="e">
        <f t="shared" ref="H217:H229" si="5">(F217-G217)/G217</f>
        <v>#DIV/0!</v>
      </c>
      <c r="I217">
        <v>0</v>
      </c>
      <c r="J217" s="11">
        <f>F217-I217</f>
        <v>0</v>
      </c>
    </row>
    <row r="218" spans="1:10" x14ac:dyDescent="0.2">
      <c r="A218" s="747">
        <v>2</v>
      </c>
      <c r="B218" s="1490"/>
      <c r="C218" s="750" t="str">
        <f>'GMCO Generation'!C214</f>
        <v>Bhola  33 MW PP (Venture)</v>
      </c>
      <c r="D218" s="751">
        <f>'GMCO Generation'!F214</f>
        <v>5378812.8000000138</v>
      </c>
      <c r="E218" s="751">
        <f>'GMCO Generation'!G214</f>
        <v>0</v>
      </c>
      <c r="F218" s="1036">
        <f>'GMCO Generation'!H214</f>
        <v>5378812.8000000138</v>
      </c>
      <c r="G218" s="1037">
        <f>'GMCO Generation'!I214</f>
        <v>5523760.7999999998</v>
      </c>
      <c r="H218" s="923">
        <f t="shared" si="5"/>
        <v>-2.6240817669002981E-2</v>
      </c>
      <c r="I218">
        <v>0</v>
      </c>
      <c r="J218" s="11">
        <f t="shared" ref="J218:J230" si="6">F218-I218</f>
        <v>5378812.8000000138</v>
      </c>
    </row>
    <row r="219" spans="1:10" x14ac:dyDescent="0.2">
      <c r="A219" s="747">
        <v>3</v>
      </c>
      <c r="B219" s="1490"/>
      <c r="C219" s="750" t="str">
        <f>'GMCO Generation'!C53</f>
        <v>Faridpur 50 MW Peaking PP</v>
      </c>
      <c r="D219" s="751">
        <f>'GMCO Generation'!F53</f>
        <v>325919.99999998731</v>
      </c>
      <c r="E219" s="751">
        <f>'GMCO Generation'!G53</f>
        <v>90720.000000000029</v>
      </c>
      <c r="F219" s="1036">
        <f>'GMCO Generation'!H53</f>
        <v>235199.99999998728</v>
      </c>
      <c r="G219" s="1037">
        <f>'GMCO Generation'!I53</f>
        <v>911040.00000001013</v>
      </c>
      <c r="H219" s="923">
        <f t="shared" si="5"/>
        <v>-0.74183350895681344</v>
      </c>
      <c r="I219">
        <v>3963740.4000000241</v>
      </c>
      <c r="J219" s="11">
        <f t="shared" si="6"/>
        <v>-3728540.4000000367</v>
      </c>
    </row>
    <row r="220" spans="1:10" x14ac:dyDescent="0.2">
      <c r="A220" s="747">
        <v>4</v>
      </c>
      <c r="B220" s="1490"/>
      <c r="C220" s="750" t="str">
        <f>'GMCO Generation'!C54</f>
        <v>Gopalganj 100 MW Peaking PP</v>
      </c>
      <c r="D220" s="751">
        <f>'GMCO Generation'!F54</f>
        <v>176639.99999997031</v>
      </c>
      <c r="E220" s="751">
        <f>'GMCO Generation'!G54</f>
        <v>143040.00000000003</v>
      </c>
      <c r="F220" s="1036">
        <f>'GMCO Generation'!H54</f>
        <v>33599.999999970285</v>
      </c>
      <c r="G220" s="1037">
        <f>'GMCO Generation'!I54</f>
        <v>910080.00000000722</v>
      </c>
      <c r="H220" s="923">
        <f t="shared" si="5"/>
        <v>-0.96308016877640423</v>
      </c>
      <c r="I220">
        <v>2861280.0000000102</v>
      </c>
      <c r="J220" s="11">
        <f t="shared" si="6"/>
        <v>-2827680.00000004</v>
      </c>
    </row>
    <row r="221" spans="1:10" x14ac:dyDescent="0.2">
      <c r="A221" s="747">
        <v>5</v>
      </c>
      <c r="B221" s="1490"/>
      <c r="C221" s="750" t="str">
        <f>'GMCO Generation'!C31</f>
        <v>Bhola 225 MW  CCPP</v>
      </c>
      <c r="D221" s="751">
        <f>'GMCO Generation'!F31</f>
        <v>72876544.609600186</v>
      </c>
      <c r="E221" s="751">
        <f>'GMCO Generation'!G31</f>
        <v>240872.72448000161</v>
      </c>
      <c r="F221" s="1036">
        <f>'GMCO Generation'!H31</f>
        <v>72635671.885120183</v>
      </c>
      <c r="G221" s="1037">
        <f>'GMCO Generation'!I31</f>
        <v>70117171.914319947</v>
      </c>
      <c r="H221" s="923">
        <f t="shared" si="5"/>
        <v>3.5918447678947037E-2</v>
      </c>
      <c r="I221">
        <v>4308480.0000000289</v>
      </c>
      <c r="J221" s="11">
        <f t="shared" si="6"/>
        <v>68327191.885120153</v>
      </c>
    </row>
    <row r="222" spans="1:10" x14ac:dyDescent="0.2">
      <c r="A222" s="747">
        <v>6</v>
      </c>
      <c r="B222" s="1490"/>
      <c r="C222" s="750" t="str">
        <f>'GMCO Generation'!C139</f>
        <v>Barisal 110 MW PP (Summit )</v>
      </c>
      <c r="D222" s="751">
        <f>'GMCO Generation'!F139</f>
        <v>279071.99999999761</v>
      </c>
      <c r="E222" s="751">
        <f>'GMCO Generation'!G139</f>
        <v>199296.00000017672</v>
      </c>
      <c r="F222" s="1036">
        <f>'GMCO Generation'!H139</f>
        <v>79775.999999820895</v>
      </c>
      <c r="G222" s="1037">
        <f>'GMCO Generation'!I139</f>
        <v>4697280.0000001444</v>
      </c>
      <c r="H222" s="923">
        <f t="shared" si="5"/>
        <v>-0.98301655426122803</v>
      </c>
      <c r="I222">
        <v>4634112.00000023</v>
      </c>
      <c r="J222" s="11">
        <f t="shared" si="6"/>
        <v>-4554336.0000004089</v>
      </c>
    </row>
    <row r="223" spans="1:10" x14ac:dyDescent="0.2">
      <c r="A223" s="747">
        <v>7</v>
      </c>
      <c r="B223" s="1490"/>
      <c r="C223" s="752" t="str">
        <f>'GMCO Generation'!C218</f>
        <v>Bhola 95 MW PP (Aggreko)</v>
      </c>
      <c r="D223" s="751">
        <f>'GMCO Generation'!F218</f>
        <v>0</v>
      </c>
      <c r="E223" s="751">
        <f>'GMCO Generation'!G218</f>
        <v>0</v>
      </c>
      <c r="F223" s="1036">
        <f>'GMCO Generation'!H218</f>
        <v>0</v>
      </c>
      <c r="G223" s="1037">
        <f>'GMCO Generation'!I218</f>
        <v>0</v>
      </c>
      <c r="H223" s="923" t="e">
        <f t="shared" si="5"/>
        <v>#DIV/0!</v>
      </c>
      <c r="I223">
        <v>79405826.352080122</v>
      </c>
      <c r="J223" s="11">
        <f t="shared" si="6"/>
        <v>-79405826.352080122</v>
      </c>
    </row>
    <row r="224" spans="1:10" x14ac:dyDescent="0.2">
      <c r="A224" s="747">
        <v>8</v>
      </c>
      <c r="B224" s="1490"/>
      <c r="C224" s="752" t="s">
        <v>1386</v>
      </c>
      <c r="D224" s="751">
        <f>'GMCO Generation'!F239+'GMCO Generation'!F240+'GMCO Generation'!F241+'GMCO Generation'!F242</f>
        <v>690045064.94291115</v>
      </c>
      <c r="E224" s="751">
        <f>'GMCO Generation'!G239+'GMCO Generation'!G240+'GMCO Generation'!G241+'GMCO Generation'!G242</f>
        <v>9397.09090944747</v>
      </c>
      <c r="F224" s="1036">
        <f>'GMCO Generation'!H239+'GMCO Generation'!H240+'GMCO Generation'!H241+'GMCO Generation'!H242</f>
        <v>690035667.85200179</v>
      </c>
      <c r="G224" s="1037">
        <f>'GMCO Generation'!I239+'GMCO Generation'!I240+'GMCO Generation'!I241+'GMCO Generation'!I242</f>
        <v>758860462.78260195</v>
      </c>
      <c r="H224" s="923">
        <f t="shared" si="5"/>
        <v>-9.0694927863592054E-2</v>
      </c>
      <c r="I224">
        <v>516721332.52560145</v>
      </c>
      <c r="J224" s="11">
        <f t="shared" si="6"/>
        <v>173314335.32640034</v>
      </c>
    </row>
    <row r="225" spans="1:10" x14ac:dyDescent="0.2">
      <c r="A225" s="747">
        <v>9</v>
      </c>
      <c r="B225" s="1490"/>
      <c r="C225" s="750" t="str">
        <f>'GMCO Generation'!C236</f>
        <v>Nutan Biddyut  220 MW</v>
      </c>
      <c r="D225" s="751">
        <f>'GMCO Generation'!F236</f>
        <v>152361595.50621608</v>
      </c>
      <c r="E225" s="751">
        <f>'GMCO Generation'!G236</f>
        <v>26169.817878399845</v>
      </c>
      <c r="F225" s="1036">
        <f>'GMCO Generation'!H236</f>
        <v>152335425.68833768</v>
      </c>
      <c r="G225" s="1037">
        <f>'GMCO Generation'!I236</f>
        <v>157408161.35679594</v>
      </c>
      <c r="H225" s="923">
        <f t="shared" si="5"/>
        <v>-3.222663694647903E-2</v>
      </c>
      <c r="I225">
        <v>140245791.55578002</v>
      </c>
      <c r="J225" s="11">
        <f t="shared" si="6"/>
        <v>12089634.13255766</v>
      </c>
    </row>
    <row r="226" spans="1:10" x14ac:dyDescent="0.2">
      <c r="A226" s="747">
        <v>10</v>
      </c>
      <c r="B226" s="1490"/>
      <c r="C226" s="817" t="str">
        <f>'GMCO Generation'!C167</f>
        <v>United Payra PP Patuakhali Imp</v>
      </c>
      <c r="D226" s="818">
        <f>'GMCO Generation'!F167</f>
        <v>2159160.00000002</v>
      </c>
      <c r="E226" s="818">
        <f>'GMCO Generation'!G167</f>
        <v>161639.99999999951</v>
      </c>
      <c r="F226" s="1038">
        <f>'GMCO Generation'!H167</f>
        <v>1997520.0000000205</v>
      </c>
      <c r="G226" s="1039">
        <f>'GMCO Generation'!I167</f>
        <v>5967143.9999999395</v>
      </c>
      <c r="H226" s="923">
        <f t="shared" si="5"/>
        <v>-0.66524689198047826</v>
      </c>
      <c r="I226">
        <v>29561088.000000037</v>
      </c>
      <c r="J226" s="11">
        <f t="shared" si="6"/>
        <v>-27563568.000000015</v>
      </c>
    </row>
    <row r="227" spans="1:10" x14ac:dyDescent="0.2">
      <c r="A227" s="747"/>
      <c r="B227" s="1490"/>
      <c r="C227" s="817" t="str">
        <f>'GMCO Generation'!C253</f>
        <v>Patuakhali 1320MW RNPL</v>
      </c>
      <c r="D227" s="818">
        <f>'GMCO Generation'!F253</f>
        <v>171432962.72662985</v>
      </c>
      <c r="E227" s="818">
        <f>'GMCO Generation'!G253</f>
        <v>5224536.8436167687</v>
      </c>
      <c r="F227" s="1038">
        <f>'GMCO Generation'!H253</f>
        <v>166208425.88301307</v>
      </c>
      <c r="G227" s="1039"/>
      <c r="H227" s="923"/>
      <c r="J227" s="11"/>
    </row>
    <row r="228" spans="1:10" x14ac:dyDescent="0.2">
      <c r="A228" s="747">
        <v>11</v>
      </c>
      <c r="B228" s="1491"/>
      <c r="C228" s="817" t="str">
        <f>'GMCO Generation'!C245</f>
        <v>Barisal Electric 307MW Coal PP</v>
      </c>
      <c r="D228" s="818">
        <f>'GMCO Generation'!F245</f>
        <v>126927866.07604486</v>
      </c>
      <c r="E228" s="818">
        <f>'GMCO Generation'!G245</f>
        <v>772287.01026551728</v>
      </c>
      <c r="F228" s="1038">
        <f>'GMCO Generation'!H245</f>
        <v>126155579.06577934</v>
      </c>
      <c r="G228" s="1039">
        <f>'GMCO Generation'!I245</f>
        <v>183157937.30191395</v>
      </c>
      <c r="H228" s="923">
        <f t="shared" si="5"/>
        <v>-0.31121969965283586</v>
      </c>
      <c r="I228">
        <v>49901549.303869829</v>
      </c>
      <c r="J228" s="11">
        <f t="shared" si="6"/>
        <v>76254029.761909515</v>
      </c>
    </row>
    <row r="229" spans="1:10" ht="12.75" customHeight="1" x14ac:dyDescent="0.2">
      <c r="A229" s="1486" t="s">
        <v>1378</v>
      </c>
      <c r="B229" s="1486"/>
      <c r="C229" s="1486"/>
      <c r="D229" s="1486"/>
      <c r="E229" s="1486"/>
      <c r="F229" s="1487">
        <f>SUM(F216:F228)</f>
        <v>1215184993.174252</v>
      </c>
      <c r="G229" s="1487">
        <f>SUM(G216:G228)</f>
        <v>1187659311.1556318</v>
      </c>
      <c r="H229" s="923">
        <f t="shared" si="5"/>
        <v>2.3176412427429929E-2</v>
      </c>
      <c r="J229" s="11"/>
    </row>
    <row r="230" spans="1:10" ht="12.75" customHeight="1" x14ac:dyDescent="0.2">
      <c r="A230" s="1486"/>
      <c r="B230" s="1486"/>
      <c r="C230" s="1486"/>
      <c r="D230" s="1486"/>
      <c r="E230" s="1486"/>
      <c r="F230" s="1487"/>
      <c r="G230" s="1487"/>
      <c r="H230" s="923"/>
      <c r="I230" s="11"/>
      <c r="J230" s="11">
        <f t="shared" si="6"/>
        <v>0</v>
      </c>
    </row>
    <row r="233" spans="1:10" ht="15.75" x14ac:dyDescent="0.25">
      <c r="E233" s="903" t="s">
        <v>806</v>
      </c>
      <c r="F233" s="904">
        <f>F229+F213+F201+F187+F173+F164+F142+F130+F110+F103+F73+F44</f>
        <v>9308279118.64884</v>
      </c>
      <c r="G233" s="904">
        <f>G229+G213+G201+G187+G173+G164+G142+G130+G110+G103+G73+G44</f>
        <v>9535391070.4383717</v>
      </c>
      <c r="I233" s="11">
        <f>'Generation Reading'!H1133</f>
        <v>9308279118.64884</v>
      </c>
      <c r="J233" s="571">
        <f>F233-I233</f>
        <v>0</v>
      </c>
    </row>
  </sheetData>
  <mergeCells count="58">
    <mergeCell ref="H201:H202"/>
    <mergeCell ref="H187:H188"/>
    <mergeCell ref="H164:H165"/>
    <mergeCell ref="H142:H143"/>
    <mergeCell ref="H44:H45"/>
    <mergeCell ref="H73:H74"/>
    <mergeCell ref="H103:H104"/>
    <mergeCell ref="H110:H111"/>
    <mergeCell ref="H130:H131"/>
    <mergeCell ref="G73:G74"/>
    <mergeCell ref="A103:E104"/>
    <mergeCell ref="F103:F104"/>
    <mergeCell ref="G103:G104"/>
    <mergeCell ref="D2:F2"/>
    <mergeCell ref="B4:B43"/>
    <mergeCell ref="A44:E45"/>
    <mergeCell ref="F44:F45"/>
    <mergeCell ref="G44:G45"/>
    <mergeCell ref="B47:B72"/>
    <mergeCell ref="B106:B109"/>
    <mergeCell ref="A110:E111"/>
    <mergeCell ref="F110:F111"/>
    <mergeCell ref="A73:E74"/>
    <mergeCell ref="F73:F74"/>
    <mergeCell ref="B76:B101"/>
    <mergeCell ref="G110:G111"/>
    <mergeCell ref="B113:B129"/>
    <mergeCell ref="A130:E131"/>
    <mergeCell ref="F130:F131"/>
    <mergeCell ref="G130:G131"/>
    <mergeCell ref="B176:B186"/>
    <mergeCell ref="B133:B141"/>
    <mergeCell ref="A142:E143"/>
    <mergeCell ref="F142:F143"/>
    <mergeCell ref="G142:G143"/>
    <mergeCell ref="A164:E165"/>
    <mergeCell ref="F164:F165"/>
    <mergeCell ref="G164:G165"/>
    <mergeCell ref="B167:B172"/>
    <mergeCell ref="A173:E174"/>
    <mergeCell ref="F173:F174"/>
    <mergeCell ref="G173:G174"/>
    <mergeCell ref="B145:B163"/>
    <mergeCell ref="A187:E188"/>
    <mergeCell ref="F187:F188"/>
    <mergeCell ref="G187:G188"/>
    <mergeCell ref="B190:B200"/>
    <mergeCell ref="A229:E230"/>
    <mergeCell ref="F229:F230"/>
    <mergeCell ref="G229:G230"/>
    <mergeCell ref="A201:E202"/>
    <mergeCell ref="F201:F202"/>
    <mergeCell ref="G201:G202"/>
    <mergeCell ref="B204:B212"/>
    <mergeCell ref="A213:E214"/>
    <mergeCell ref="F213:F214"/>
    <mergeCell ref="G213:G214"/>
    <mergeCell ref="B216:B228"/>
  </mergeCells>
  <pageMargins left="0.7" right="0.7" top="0.75" bottom="0.75" header="0.3" footer="0.3"/>
  <pageSetup paperSize="9" scale="59" orientation="portrait" r:id="rId1"/>
  <rowBreaks count="2" manualBreakCount="2">
    <brk id="74" max="16383" man="1"/>
    <brk id="174" max="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pageSetUpPr fitToPage="1"/>
  </sheetPr>
  <dimension ref="A4:H20"/>
  <sheetViews>
    <sheetView view="pageBreakPreview" zoomScaleNormal="100" zoomScaleSheetLayoutView="100" workbookViewId="0">
      <selection activeCell="D6" sqref="D6:D17"/>
    </sheetView>
  </sheetViews>
  <sheetFormatPr defaultRowHeight="12.75" x14ac:dyDescent="0.2"/>
  <cols>
    <col min="2" max="2" width="11.5703125" bestFit="1" customWidth="1"/>
    <col min="3" max="3" width="18.7109375" customWidth="1"/>
    <col min="4" max="4" width="17.140625" customWidth="1"/>
    <col min="5" max="5" width="18.85546875" customWidth="1"/>
    <col min="6" max="6" width="13.42578125" customWidth="1"/>
    <col min="7" max="7" width="19.7109375" customWidth="1"/>
    <col min="8" max="8" width="11" bestFit="1" customWidth="1"/>
    <col min="11" max="11" width="10" bestFit="1" customWidth="1"/>
  </cols>
  <sheetData>
    <row r="4" spans="1:8" x14ac:dyDescent="0.2">
      <c r="A4" s="830" t="s">
        <v>1284</v>
      </c>
      <c r="B4" s="831" t="s">
        <v>17</v>
      </c>
      <c r="C4" s="1017">
        <f>'GMCO Generation'!D3</f>
        <v>45809</v>
      </c>
      <c r="D4" s="833">
        <f>Comparison!C5</f>
        <v>45778</v>
      </c>
      <c r="E4" s="831" t="s">
        <v>1237</v>
      </c>
      <c r="F4" s="831" t="s">
        <v>1383</v>
      </c>
      <c r="G4" s="831" t="s">
        <v>1639</v>
      </c>
      <c r="H4" s="831" t="s">
        <v>1237</v>
      </c>
    </row>
    <row r="5" spans="1:8" x14ac:dyDescent="0.2">
      <c r="A5" s="830"/>
      <c r="B5" s="831"/>
      <c r="C5" s="832" t="s">
        <v>1486</v>
      </c>
      <c r="D5" s="832" t="s">
        <v>1486</v>
      </c>
      <c r="E5" s="831"/>
      <c r="F5" s="834"/>
      <c r="G5" s="834"/>
      <c r="H5" s="834"/>
    </row>
    <row r="6" spans="1:8" x14ac:dyDescent="0.2">
      <c r="A6" s="835">
        <v>1</v>
      </c>
      <c r="B6" s="826" t="s">
        <v>5</v>
      </c>
      <c r="C6" s="839">
        <f>'EAUD''S'!F44</f>
        <v>1600637969.9554343</v>
      </c>
      <c r="D6" s="827">
        <f>'EAUD''S'!G44</f>
        <v>1704595690.4416869</v>
      </c>
      <c r="E6" s="828">
        <f>C6-D6</f>
        <v>-103957720.48625255</v>
      </c>
      <c r="F6" s="829">
        <f>E6/D6</f>
        <v>-6.0986731967693469E-2</v>
      </c>
      <c r="G6" s="1254">
        <v>1193659435</v>
      </c>
      <c r="H6" s="828">
        <f t="shared" ref="H6:H9" si="0">C6-G6</f>
        <v>406978534.95543432</v>
      </c>
    </row>
    <row r="7" spans="1:8" x14ac:dyDescent="0.2">
      <c r="A7" s="835">
        <v>2</v>
      </c>
      <c r="B7" s="826" t="s">
        <v>196</v>
      </c>
      <c r="C7" s="840">
        <f>'EAUD''S'!F142</f>
        <v>194841650.39999965</v>
      </c>
      <c r="D7" s="828">
        <f>'EAUD''S'!G142</f>
        <v>154380235.20000044</v>
      </c>
      <c r="E7" s="828">
        <f>C7-D7</f>
        <v>40461415.199999213</v>
      </c>
      <c r="F7" s="829">
        <f>E7/D7</f>
        <v>0.26208934807996132</v>
      </c>
      <c r="G7" s="1254">
        <v>157581194</v>
      </c>
      <c r="H7" s="828">
        <f t="shared" si="0"/>
        <v>37260456.399999648</v>
      </c>
    </row>
    <row r="8" spans="1:8" x14ac:dyDescent="0.2">
      <c r="A8" s="835">
        <v>3</v>
      </c>
      <c r="B8" s="826" t="s">
        <v>1211</v>
      </c>
      <c r="C8" s="840">
        <f>'EAUD''S'!F110</f>
        <v>22559610.178062968</v>
      </c>
      <c r="D8" s="828">
        <f>'EAUD''S'!G110</f>
        <v>30253243.617363192</v>
      </c>
      <c r="E8" s="828">
        <f t="shared" ref="E8:E17" si="1">C8-D8</f>
        <v>-7693633.4393002242</v>
      </c>
      <c r="F8" s="829">
        <f t="shared" ref="F8:F18" si="2">E8/D8</f>
        <v>-0.25430772106977084</v>
      </c>
      <c r="G8" s="1255">
        <v>44108775</v>
      </c>
      <c r="H8" s="828">
        <f t="shared" si="0"/>
        <v>-21549164.821937032</v>
      </c>
    </row>
    <row r="9" spans="1:8" x14ac:dyDescent="0.2">
      <c r="A9" s="835">
        <v>4</v>
      </c>
      <c r="B9" s="826" t="s">
        <v>1210</v>
      </c>
      <c r="C9" s="840">
        <f>'EAUD''S'!F103</f>
        <v>1221581310.0917671</v>
      </c>
      <c r="D9" s="828">
        <f>'EAUD''S'!G103</f>
        <v>1353603450.6279919</v>
      </c>
      <c r="E9" s="828">
        <f t="shared" si="1"/>
        <v>-132022140.53622484</v>
      </c>
      <c r="F9" s="829">
        <f t="shared" si="2"/>
        <v>-9.7533838640093878E-2</v>
      </c>
      <c r="G9" s="1254">
        <v>1097117977</v>
      </c>
      <c r="H9" s="828">
        <f t="shared" si="0"/>
        <v>124463333.09176707</v>
      </c>
    </row>
    <row r="10" spans="1:8" x14ac:dyDescent="0.2">
      <c r="A10" s="835">
        <v>5</v>
      </c>
      <c r="B10" s="826" t="s">
        <v>1287</v>
      </c>
      <c r="C10" s="840">
        <f>'EAUD''S'!F73</f>
        <v>1062391569.9486468</v>
      </c>
      <c r="D10" s="828">
        <f>'EAUD''S'!G73</f>
        <v>1090814146.223578</v>
      </c>
      <c r="E10" s="828">
        <f t="shared" si="1"/>
        <v>-28422576.274931192</v>
      </c>
      <c r="F10" s="829">
        <f t="shared" si="2"/>
        <v>-2.605629599994716E-2</v>
      </c>
      <c r="G10" s="1256">
        <v>1040247716</v>
      </c>
      <c r="H10" s="828">
        <f>C10-G10</f>
        <v>22143853.948646784</v>
      </c>
    </row>
    <row r="11" spans="1:8" x14ac:dyDescent="0.2">
      <c r="A11" s="835">
        <v>6</v>
      </c>
      <c r="B11" s="826" t="s">
        <v>4</v>
      </c>
      <c r="C11" s="840">
        <f>'EAUD''S'!F130</f>
        <v>962593575.59579277</v>
      </c>
      <c r="D11" s="828">
        <f>'EAUD''S'!G130</f>
        <v>989772353.44076538</v>
      </c>
      <c r="E11" s="828">
        <f t="shared" ref="E11:E16" si="3">C11-D11</f>
        <v>-27178777.84497261</v>
      </c>
      <c r="F11" s="829">
        <f t="shared" ref="F11:F16" si="4">E11/D11</f>
        <v>-2.7459625186024326E-2</v>
      </c>
      <c r="G11" s="1254">
        <v>1025707409</v>
      </c>
      <c r="H11" s="828">
        <f t="shared" ref="H11:H17" si="5">C11-G11</f>
        <v>-63113833.40420723</v>
      </c>
    </row>
    <row r="12" spans="1:8" x14ac:dyDescent="0.2">
      <c r="A12" s="835">
        <v>7</v>
      </c>
      <c r="B12" s="826" t="s">
        <v>0</v>
      </c>
      <c r="C12" s="840">
        <f>'EAUD''S'!F173</f>
        <v>758547656.06231439</v>
      </c>
      <c r="D12" s="828">
        <f>'EAUD''S'!G173</f>
        <v>874963142.03545368</v>
      </c>
      <c r="E12" s="828">
        <f t="shared" si="3"/>
        <v>-116415485.97313929</v>
      </c>
      <c r="F12" s="829">
        <f t="shared" si="4"/>
        <v>-0.13305187427931919</v>
      </c>
      <c r="G12" s="1255">
        <v>779960009.42820382</v>
      </c>
      <c r="H12" s="828">
        <f t="shared" si="5"/>
        <v>-21412353.36588943</v>
      </c>
    </row>
    <row r="13" spans="1:8" x14ac:dyDescent="0.2">
      <c r="A13" s="835">
        <v>8</v>
      </c>
      <c r="B13" s="1251" t="s">
        <v>1</v>
      </c>
      <c r="C13" s="840">
        <f>'EAUD''S'!F164</f>
        <v>570470875.90159142</v>
      </c>
      <c r="D13" s="828">
        <f>'EAUD''S'!G164</f>
        <v>581342180.58750093</v>
      </c>
      <c r="E13" s="828">
        <f t="shared" si="3"/>
        <v>-10871304.68590951</v>
      </c>
      <c r="F13" s="829">
        <f t="shared" si="4"/>
        <v>-1.8700354195738962E-2</v>
      </c>
      <c r="G13" s="1255">
        <v>524992964.22636437</v>
      </c>
      <c r="H13" s="828">
        <f t="shared" si="5"/>
        <v>45477911.675227046</v>
      </c>
    </row>
    <row r="14" spans="1:8" x14ac:dyDescent="0.2">
      <c r="A14" s="835">
        <v>9</v>
      </c>
      <c r="B14" s="1251" t="s">
        <v>2</v>
      </c>
      <c r="C14" s="840">
        <f>'EAUD''S'!F187</f>
        <v>270899714.54338002</v>
      </c>
      <c r="D14" s="828">
        <f>'EAUD''S'!G187</f>
        <v>217335459.14854142</v>
      </c>
      <c r="E14" s="828">
        <f t="shared" si="3"/>
        <v>53564255.394838601</v>
      </c>
      <c r="F14" s="829">
        <f t="shared" si="4"/>
        <v>0.24645888712632599</v>
      </c>
      <c r="G14" s="1255">
        <v>265565941.0521166</v>
      </c>
      <c r="H14" s="828">
        <f t="shared" si="5"/>
        <v>5333773.4912634194</v>
      </c>
    </row>
    <row r="15" spans="1:8" x14ac:dyDescent="0.2">
      <c r="A15" s="835">
        <v>10</v>
      </c>
      <c r="B15" s="826" t="s">
        <v>1235</v>
      </c>
      <c r="C15" s="840">
        <f>'EAUD''S'!F201</f>
        <v>652308217.8943274</v>
      </c>
      <c r="D15" s="828">
        <f>'EAUD''S'!G201</f>
        <v>575425780.48558235</v>
      </c>
      <c r="E15" s="828">
        <f t="shared" si="3"/>
        <v>76882437.40874505</v>
      </c>
      <c r="F15" s="829">
        <f t="shared" si="4"/>
        <v>0.13360965048153831</v>
      </c>
      <c r="G15" s="1254">
        <v>419724260.44</v>
      </c>
      <c r="H15" s="828">
        <f t="shared" si="5"/>
        <v>232583957.4543274</v>
      </c>
    </row>
    <row r="16" spans="1:8" x14ac:dyDescent="0.2">
      <c r="A16" s="835">
        <v>11</v>
      </c>
      <c r="B16" s="826" t="s">
        <v>1236</v>
      </c>
      <c r="C16" s="840">
        <f>'EAUD''S'!F213</f>
        <v>776261974.90327084</v>
      </c>
      <c r="D16" s="828">
        <f>'EAUD''S'!G213</f>
        <v>775246077.47427642</v>
      </c>
      <c r="E16" s="828">
        <f t="shared" si="3"/>
        <v>1015897.4289944172</v>
      </c>
      <c r="F16" s="829">
        <f t="shared" si="4"/>
        <v>1.3104193088008572E-3</v>
      </c>
      <c r="G16" s="1254">
        <v>821259381</v>
      </c>
      <c r="H16" s="828">
        <f t="shared" si="5"/>
        <v>-44997406.096729159</v>
      </c>
    </row>
    <row r="17" spans="1:8" x14ac:dyDescent="0.2">
      <c r="A17" s="835">
        <v>12</v>
      </c>
      <c r="B17" s="826" t="s">
        <v>1288</v>
      </c>
      <c r="C17" s="840">
        <f>'EAUD''S'!F229</f>
        <v>1215184993.174252</v>
      </c>
      <c r="D17" s="828">
        <f>'EAUD''S'!G229</f>
        <v>1187659311.1556318</v>
      </c>
      <c r="E17" s="828">
        <f t="shared" si="1"/>
        <v>27525682.018620253</v>
      </c>
      <c r="F17" s="829">
        <f t="shared" si="2"/>
        <v>2.3176412427429929E-2</v>
      </c>
      <c r="G17" s="1254">
        <v>1328076217</v>
      </c>
      <c r="H17" s="828">
        <f t="shared" si="5"/>
        <v>-112891223.82574797</v>
      </c>
    </row>
    <row r="18" spans="1:8" x14ac:dyDescent="0.2">
      <c r="A18" s="834"/>
      <c r="B18" s="834"/>
      <c r="C18" s="836">
        <f>SUM(C6:C17)</f>
        <v>9308279118.648838</v>
      </c>
      <c r="D18" s="836">
        <f>SUM(D6:D17)</f>
        <v>9535391070.4383717</v>
      </c>
      <c r="E18" s="836">
        <f>SUM(E6:E17)</f>
        <v>-227111951.78953266</v>
      </c>
      <c r="F18" s="1121">
        <f t="shared" si="2"/>
        <v>-2.3817791017887599E-2</v>
      </c>
      <c r="G18" s="834"/>
      <c r="H18" s="834"/>
    </row>
    <row r="20" spans="1:8" x14ac:dyDescent="0.2">
      <c r="C20" s="571"/>
    </row>
  </sheetData>
  <pageMargins left="0.7" right="0.7" top="0.75" bottom="0.75" header="0.3" footer="0.3"/>
  <pageSetup scale="7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V30"/>
  <sheetViews>
    <sheetView view="pageBreakPreview" zoomScaleNormal="70" zoomScaleSheetLayoutView="100" workbookViewId="0">
      <selection activeCell="S9" sqref="S9"/>
    </sheetView>
  </sheetViews>
  <sheetFormatPr defaultRowHeight="12.75" x14ac:dyDescent="0.2"/>
  <cols>
    <col min="2" max="2" width="39.7109375" customWidth="1"/>
    <col min="3" max="3" width="0.28515625" customWidth="1"/>
    <col min="4" max="13" width="18.85546875" hidden="1" customWidth="1"/>
    <col min="14" max="14" width="18.85546875" customWidth="1"/>
    <col min="15" max="15" width="21.28515625" customWidth="1"/>
    <col min="16" max="20" width="11" bestFit="1" customWidth="1"/>
    <col min="21" max="21" width="12.7109375" customWidth="1"/>
    <col min="22" max="22" width="11" bestFit="1" customWidth="1"/>
  </cols>
  <sheetData>
    <row r="1" spans="1:22" ht="20.25" x14ac:dyDescent="0.2">
      <c r="A1" s="1515" t="s">
        <v>1116</v>
      </c>
      <c r="B1" s="1515"/>
      <c r="C1" s="1515"/>
      <c r="D1" s="1515"/>
      <c r="E1" s="1515"/>
      <c r="F1" s="1515"/>
      <c r="G1" s="1515"/>
      <c r="H1" s="1515"/>
      <c r="I1" s="1515"/>
      <c r="J1" s="1515"/>
      <c r="K1" s="1515"/>
      <c r="L1" s="1515"/>
      <c r="M1" s="1515"/>
      <c r="N1" s="1515"/>
      <c r="O1" s="1515"/>
      <c r="P1" t="s">
        <v>1204</v>
      </c>
    </row>
    <row r="2" spans="1:22" ht="18" x14ac:dyDescent="0.2">
      <c r="A2" s="1516"/>
      <c r="B2" s="1516"/>
      <c r="C2" s="1516"/>
      <c r="D2" s="1516"/>
      <c r="E2" s="1516"/>
      <c r="F2" s="1516"/>
      <c r="G2" s="1516"/>
      <c r="H2" s="1516"/>
      <c r="I2" s="1516"/>
      <c r="J2" s="1516"/>
      <c r="K2" s="1516"/>
      <c r="L2" s="1516"/>
      <c r="M2" s="1516"/>
      <c r="N2" s="1516"/>
      <c r="O2" s="1516"/>
    </row>
    <row r="3" spans="1:22" x14ac:dyDescent="0.2">
      <c r="A3" s="605"/>
      <c r="B3" s="606"/>
      <c r="C3" s="607"/>
      <c r="D3" s="607"/>
      <c r="E3" s="607"/>
      <c r="F3" s="607"/>
      <c r="G3" s="607"/>
      <c r="H3" s="607"/>
      <c r="I3" s="607"/>
      <c r="J3" s="607"/>
      <c r="K3" s="607"/>
      <c r="L3" s="607"/>
      <c r="M3" s="607"/>
      <c r="N3" s="607"/>
      <c r="O3" s="607"/>
    </row>
    <row r="4" spans="1:22" ht="15.75" x14ac:dyDescent="0.25">
      <c r="A4" s="608" t="s">
        <v>1117</v>
      </c>
      <c r="B4" s="609" t="s">
        <v>518</v>
      </c>
      <c r="C4" s="610">
        <v>43739</v>
      </c>
      <c r="D4" s="610">
        <v>43770</v>
      </c>
      <c r="E4" s="610">
        <v>43800</v>
      </c>
      <c r="F4" s="610">
        <v>43831</v>
      </c>
      <c r="G4" s="610">
        <v>43891</v>
      </c>
      <c r="H4" s="610">
        <v>43922</v>
      </c>
      <c r="I4" s="610">
        <v>43952</v>
      </c>
      <c r="J4" s="610">
        <v>43983</v>
      </c>
      <c r="K4" s="610">
        <v>44013</v>
      </c>
      <c r="L4" s="610">
        <v>44044</v>
      </c>
      <c r="M4" s="610">
        <v>44197</v>
      </c>
      <c r="N4" s="610">
        <v>44228</v>
      </c>
      <c r="O4" s="610">
        <v>44256</v>
      </c>
    </row>
    <row r="5" spans="1:22" ht="15" x14ac:dyDescent="0.2">
      <c r="A5" s="631" t="s">
        <v>1160</v>
      </c>
      <c r="B5" s="1517" t="s">
        <v>1118</v>
      </c>
      <c r="C5" s="1518"/>
      <c r="D5" s="1518"/>
      <c r="E5" s="1519"/>
      <c r="F5" s="1519"/>
      <c r="G5" s="1519"/>
      <c r="H5" s="1519"/>
      <c r="I5" s="1519"/>
      <c r="J5" s="1519"/>
      <c r="K5" s="1519"/>
      <c r="L5" s="1519"/>
      <c r="M5" s="1519"/>
      <c r="N5" s="1519"/>
      <c r="O5" s="1520"/>
    </row>
    <row r="6" spans="1:22" ht="15" x14ac:dyDescent="0.25">
      <c r="A6" s="698" t="s">
        <v>748</v>
      </c>
      <c r="B6" s="628" t="s">
        <v>1119</v>
      </c>
      <c r="C6" s="615">
        <v>5548833030.2445707</v>
      </c>
      <c r="D6" s="615">
        <v>4527131176</v>
      </c>
      <c r="E6" s="672">
        <v>4379185363.7752504</v>
      </c>
      <c r="F6" s="672">
        <v>4494018863.4221687</v>
      </c>
      <c r="G6" s="672">
        <v>4477253406.7777824</v>
      </c>
      <c r="H6" s="672">
        <v>4523244572.5809078</v>
      </c>
      <c r="I6" s="672">
        <v>5033281931.2898216</v>
      </c>
      <c r="J6" s="672">
        <v>5845088860.9295931</v>
      </c>
      <c r="K6" s="672">
        <v>6384178639.40378</v>
      </c>
      <c r="L6" s="672">
        <v>6408365286.7289448</v>
      </c>
      <c r="M6" s="672">
        <v>4704480968</v>
      </c>
      <c r="N6" s="672">
        <v>4471346343.4353609</v>
      </c>
      <c r="O6" s="621">
        <f>Comparison!D52</f>
        <v>8669771365.9215679</v>
      </c>
      <c r="S6" s="699"/>
    </row>
    <row r="7" spans="1:22" ht="15" x14ac:dyDescent="0.25">
      <c r="A7" s="698" t="s">
        <v>749</v>
      </c>
      <c r="B7" s="628" t="s">
        <v>1120</v>
      </c>
      <c r="C7" s="615">
        <v>714703825.45454574</v>
      </c>
      <c r="D7" s="615">
        <v>471041105</v>
      </c>
      <c r="E7" s="672">
        <v>272169512.72727263</v>
      </c>
      <c r="F7" s="672">
        <v>288417425.45454335</v>
      </c>
      <c r="G7" s="672">
        <v>350994821.81818289</v>
      </c>
      <c r="H7" s="672">
        <v>403904174.54545516</v>
      </c>
      <c r="I7" s="672">
        <v>576260654.54545403</v>
      </c>
      <c r="J7" s="672">
        <v>739229701.81818366</v>
      </c>
      <c r="K7" s="672">
        <v>769169367.2727263</v>
      </c>
      <c r="L7" s="672">
        <v>778007389.09090745</v>
      </c>
      <c r="M7" s="672">
        <v>529600349</v>
      </c>
      <c r="N7" s="672">
        <v>510686138.18181938</v>
      </c>
      <c r="O7" s="621">
        <f>Comparison!D53</f>
        <v>638507752.72727168</v>
      </c>
    </row>
    <row r="8" spans="1:22" ht="14.25" x14ac:dyDescent="0.2">
      <c r="A8" s="1524" t="s">
        <v>1121</v>
      </c>
      <c r="B8" s="1525"/>
      <c r="C8" s="629">
        <f>SUM(C6:C7)</f>
        <v>6263536855.6991167</v>
      </c>
      <c r="D8" s="629">
        <f>SUM(D6:D7)</f>
        <v>4998172281</v>
      </c>
      <c r="E8" s="673">
        <f>SUM(E6:E7)</f>
        <v>4651354876.5025234</v>
      </c>
      <c r="F8" s="673">
        <f>SUM(F6:F7)</f>
        <v>4782436288.8767118</v>
      </c>
      <c r="G8" s="673">
        <v>4828248228.5959654</v>
      </c>
      <c r="H8" s="673">
        <v>4927148747.1263628</v>
      </c>
      <c r="I8" s="673">
        <v>5609542585.8352757</v>
      </c>
      <c r="J8" s="673">
        <v>6584318562.747777</v>
      </c>
      <c r="K8" s="673">
        <v>7153348006.676506</v>
      </c>
      <c r="L8" s="673">
        <v>7186372675.8198519</v>
      </c>
      <c r="M8" s="673">
        <f>SUM(M6:M7)</f>
        <v>5234081317</v>
      </c>
      <c r="N8" s="673">
        <v>4982032481.6171799</v>
      </c>
      <c r="O8" s="630">
        <f>SUM(O6:O7)</f>
        <v>9308279118.64884</v>
      </c>
    </row>
    <row r="9" spans="1:22" ht="15" x14ac:dyDescent="0.2">
      <c r="A9" s="631" t="s">
        <v>1161</v>
      </c>
      <c r="B9" s="1521" t="s">
        <v>1122</v>
      </c>
      <c r="C9" s="1522"/>
      <c r="D9" s="1522"/>
      <c r="E9" s="1522"/>
      <c r="F9" s="1522"/>
      <c r="G9" s="1522"/>
      <c r="H9" s="1522"/>
      <c r="I9" s="1522"/>
      <c r="J9" s="1522"/>
      <c r="K9" s="1522"/>
      <c r="L9" s="1522"/>
      <c r="M9" s="1522"/>
      <c r="N9" s="1522"/>
      <c r="O9" s="1523"/>
    </row>
    <row r="10" spans="1:22" ht="15" x14ac:dyDescent="0.25">
      <c r="A10" s="622" t="s">
        <v>748</v>
      </c>
      <c r="B10" s="616" t="s">
        <v>14</v>
      </c>
      <c r="C10" s="617">
        <v>1506471402.4019673</v>
      </c>
      <c r="D10" s="617">
        <v>1388408579</v>
      </c>
      <c r="E10" s="674">
        <v>1178869927.1543095</v>
      </c>
      <c r="F10" s="674">
        <v>1373283387.3050416</v>
      </c>
      <c r="G10" s="674">
        <v>1296957702.3782923</v>
      </c>
      <c r="H10" s="674">
        <v>1115540121.5083864</v>
      </c>
      <c r="I10" s="674">
        <v>939607705.45604014</v>
      </c>
      <c r="J10" s="674">
        <v>1049729390.3480536</v>
      </c>
      <c r="K10" s="674">
        <v>1050416083.6532594</v>
      </c>
      <c r="L10" s="674">
        <v>1043142877.2034233</v>
      </c>
      <c r="M10" s="674">
        <v>842325852.89064217</v>
      </c>
      <c r="N10" s="674">
        <v>885735878.82091415</v>
      </c>
      <c r="O10" s="623">
        <f>'GMCO Generation'!H81</f>
        <v>1221529351.7191978</v>
      </c>
    </row>
    <row r="11" spans="1:22" ht="15" x14ac:dyDescent="0.25">
      <c r="A11" s="622" t="s">
        <v>749</v>
      </c>
      <c r="B11" s="616" t="s">
        <v>1123</v>
      </c>
      <c r="C11" s="617">
        <v>1592762206.0753117</v>
      </c>
      <c r="D11" s="617">
        <v>1478173804</v>
      </c>
      <c r="E11" s="674">
        <v>1555140023.1360869</v>
      </c>
      <c r="F11" s="674">
        <v>1392347931.5160248</v>
      </c>
      <c r="G11" s="674">
        <v>1211812130.5815556</v>
      </c>
      <c r="H11" s="674">
        <v>1441299072.7071853</v>
      </c>
      <c r="I11" s="674">
        <v>1505353391.5127597</v>
      </c>
      <c r="J11" s="674">
        <v>1401434449.9218848</v>
      </c>
      <c r="K11" s="674">
        <v>1694277954.6462259</v>
      </c>
      <c r="L11" s="674">
        <v>1444222993.4933245</v>
      </c>
      <c r="M11" s="674">
        <v>1073275250.2761986</v>
      </c>
      <c r="N11" s="674">
        <v>1074017439.9002833</v>
      </c>
      <c r="O11" s="623">
        <f>'GMCO Generation'!H92+'GMCO Generation'!H102+'GMCO Generation'!H107+'GMCO Generation'!H111+'GMCO Generation'!H114</f>
        <v>1539647542.0761757</v>
      </c>
      <c r="P11" s="11"/>
      <c r="S11" s="11"/>
    </row>
    <row r="12" spans="1:22" ht="15" x14ac:dyDescent="0.25">
      <c r="A12" s="622" t="s">
        <v>750</v>
      </c>
      <c r="B12" s="616" t="s">
        <v>1124</v>
      </c>
      <c r="C12" s="617">
        <v>2449599421.7672935</v>
      </c>
      <c r="D12" s="617">
        <v>1660548793</v>
      </c>
      <c r="E12" s="674">
        <v>1645175413.4848533</v>
      </c>
      <c r="F12" s="674">
        <v>1728387544.6011024</v>
      </c>
      <c r="G12" s="674">
        <v>1968483573.8179348</v>
      </c>
      <c r="H12" s="674">
        <v>1966405378.3653352</v>
      </c>
      <c r="I12" s="674">
        <v>2588320834.3210216</v>
      </c>
      <c r="J12" s="674">
        <v>3393925020.6596551</v>
      </c>
      <c r="K12" s="674">
        <v>3639484601.1042943</v>
      </c>
      <c r="L12" s="674">
        <v>3920999416.032197</v>
      </c>
      <c r="M12" s="674">
        <v>2788656641.1495967</v>
      </c>
      <c r="N12" s="674">
        <v>2511593024.7141628</v>
      </c>
      <c r="O12" s="623">
        <f>'GMCO Generation'!H130+'GMCO Generation'!H170+'GMCO Generation'!H178+'GMCO Generation'!H194+'GMCO Generation'!H220+'GMCO Generation'!H238+'GMCO Generation'!H249+'GMCO Generation'!H274+'GMCO Generation'!H109</f>
        <v>5038868417.7035875</v>
      </c>
      <c r="P12" s="11"/>
      <c r="Q12" s="11"/>
      <c r="R12" s="11"/>
      <c r="T12" s="11"/>
    </row>
    <row r="13" spans="1:22" ht="14.25" x14ac:dyDescent="0.2">
      <c r="A13" s="1513" t="s">
        <v>1125</v>
      </c>
      <c r="B13" s="1514"/>
      <c r="C13" s="632">
        <f>SUM(C10:C12)</f>
        <v>5548833030.2445717</v>
      </c>
      <c r="D13" s="632">
        <f>SUM(D10:D12)</f>
        <v>4527131176</v>
      </c>
      <c r="E13" s="675">
        <f>SUM(E10:E12)</f>
        <v>4379185363.7752495</v>
      </c>
      <c r="F13" s="675">
        <f>SUM(F10:F12)</f>
        <v>4494018863.4221687</v>
      </c>
      <c r="G13" s="675">
        <v>4477253406.7777824</v>
      </c>
      <c r="H13" s="675">
        <v>4523244572.5809069</v>
      </c>
      <c r="I13" s="675">
        <v>5033281931.2898216</v>
      </c>
      <c r="J13" s="675">
        <v>5845088860.929594</v>
      </c>
      <c r="K13" s="675">
        <v>6384178639.40378</v>
      </c>
      <c r="L13" s="675">
        <v>6408365286.7289448</v>
      </c>
      <c r="M13" s="675">
        <f>SUM(M10:M12)</f>
        <v>4704257744.3164377</v>
      </c>
      <c r="N13" s="675">
        <v>4471346343.43536</v>
      </c>
      <c r="O13" s="694">
        <f>SUM(O10:O12)</f>
        <v>7800045311.4989605</v>
      </c>
      <c r="P13" s="11">
        <f>O13+O7</f>
        <v>8438553064.2262325</v>
      </c>
      <c r="Q13" s="11"/>
      <c r="R13" s="11"/>
      <c r="V13" s="11"/>
    </row>
    <row r="14" spans="1:22" ht="15" x14ac:dyDescent="0.25">
      <c r="A14" s="633" t="s">
        <v>1162</v>
      </c>
      <c r="B14" s="634" t="s">
        <v>1126</v>
      </c>
      <c r="C14" s="635">
        <v>577220736</v>
      </c>
      <c r="D14" s="635">
        <v>512300460</v>
      </c>
      <c r="E14" s="676">
        <v>570973669</v>
      </c>
      <c r="F14" s="676">
        <v>415303220</v>
      </c>
      <c r="G14" s="676">
        <v>417190312.90755153</v>
      </c>
      <c r="H14" s="676"/>
      <c r="I14" s="676"/>
      <c r="J14" s="676"/>
      <c r="K14" s="676"/>
      <c r="L14" s="676"/>
      <c r="M14" s="676">
        <f>M17-M15</f>
        <v>363207058</v>
      </c>
      <c r="N14" s="676"/>
      <c r="O14" s="636"/>
      <c r="P14" s="11">
        <f>P13-O8</f>
        <v>-869726054.42260742</v>
      </c>
      <c r="Q14" s="11"/>
    </row>
    <row r="15" spans="1:22" ht="15" x14ac:dyDescent="0.25">
      <c r="A15" s="637" t="s">
        <v>1163</v>
      </c>
      <c r="B15" s="626" t="s">
        <v>1127</v>
      </c>
      <c r="C15" s="638">
        <v>276278248</v>
      </c>
      <c r="D15" s="638">
        <v>176281713</v>
      </c>
      <c r="E15" s="677">
        <v>175149185</v>
      </c>
      <c r="F15" s="677">
        <v>185034462</v>
      </c>
      <c r="G15" s="677">
        <v>184843137</v>
      </c>
      <c r="H15" s="677"/>
      <c r="I15" s="677"/>
      <c r="J15" s="677"/>
      <c r="K15" s="677"/>
      <c r="L15" s="677"/>
      <c r="M15" s="677">
        <v>259056964</v>
      </c>
      <c r="N15" s="677"/>
      <c r="O15" s="639"/>
      <c r="T15" s="11"/>
    </row>
    <row r="16" spans="1:22" ht="15" x14ac:dyDescent="0.25">
      <c r="A16" s="633" t="s">
        <v>1164</v>
      </c>
      <c r="B16" s="634" t="s">
        <v>1158</v>
      </c>
      <c r="C16" s="635"/>
      <c r="D16" s="635"/>
      <c r="E16" s="676"/>
      <c r="F16" s="676"/>
      <c r="G16" s="676"/>
      <c r="H16" s="676"/>
      <c r="I16" s="676"/>
      <c r="J16" s="676"/>
      <c r="K16" s="676"/>
      <c r="L16" s="676"/>
      <c r="M16" s="676"/>
      <c r="N16" s="676"/>
      <c r="O16" s="640"/>
      <c r="T16" s="11"/>
      <c r="V16" s="11"/>
    </row>
    <row r="17" spans="1:20" ht="15" x14ac:dyDescent="0.25">
      <c r="A17" s="622" t="s">
        <v>748</v>
      </c>
      <c r="B17" s="616" t="s">
        <v>1137</v>
      </c>
      <c r="C17" s="619">
        <v>852953250.06148148</v>
      </c>
      <c r="D17" s="619">
        <v>687935506</v>
      </c>
      <c r="E17" s="678">
        <v>594441350.51333988</v>
      </c>
      <c r="F17" s="678">
        <v>600337682.20391738</v>
      </c>
      <c r="G17" s="678">
        <v>602033449.90755153</v>
      </c>
      <c r="H17" s="678">
        <v>664276917.13873219</v>
      </c>
      <c r="I17" s="678">
        <v>757764185.64033854</v>
      </c>
      <c r="J17" s="678">
        <v>810388340.71982288</v>
      </c>
      <c r="K17" s="678">
        <v>870774485.28064167</v>
      </c>
      <c r="L17" s="678">
        <v>884275185.33962035</v>
      </c>
      <c r="M17" s="678">
        <v>622264022</v>
      </c>
      <c r="N17" s="678">
        <v>597259356.19083881</v>
      </c>
      <c r="O17" s="624">
        <f>Comparison!D25</f>
        <v>1060622550</v>
      </c>
    </row>
    <row r="18" spans="1:20" ht="15" x14ac:dyDescent="0.25">
      <c r="A18" s="622" t="s">
        <v>749</v>
      </c>
      <c r="B18" s="616" t="s">
        <v>1135</v>
      </c>
      <c r="C18" s="619">
        <v>87181344</v>
      </c>
      <c r="D18" s="619">
        <v>73922952</v>
      </c>
      <c r="E18" s="678">
        <v>90197144</v>
      </c>
      <c r="F18" s="678">
        <v>95970795</v>
      </c>
      <c r="G18" s="678">
        <v>94355932</v>
      </c>
      <c r="H18" s="678">
        <v>60613752.000000045</v>
      </c>
      <c r="I18" s="678">
        <v>65471280</v>
      </c>
      <c r="J18" s="678">
        <v>92085167.999999881</v>
      </c>
      <c r="K18" s="678">
        <v>95288832</v>
      </c>
      <c r="L18" s="678">
        <v>81461940</v>
      </c>
      <c r="M18" s="678">
        <v>103487520</v>
      </c>
      <c r="N18" s="678">
        <v>88903920</v>
      </c>
      <c r="O18" s="624">
        <v>100138943.99999997</v>
      </c>
      <c r="Q18" s="11"/>
      <c r="T18" s="11"/>
    </row>
    <row r="19" spans="1:20" ht="15" x14ac:dyDescent="0.25">
      <c r="A19" s="622" t="s">
        <v>750</v>
      </c>
      <c r="B19" s="616" t="s">
        <v>1136</v>
      </c>
      <c r="C19" s="619">
        <v>83919057</v>
      </c>
      <c r="D19" s="619">
        <v>82699639</v>
      </c>
      <c r="E19" s="678">
        <v>76798572</v>
      </c>
      <c r="F19" s="678">
        <v>105438694</v>
      </c>
      <c r="G19" s="678">
        <v>95109600</v>
      </c>
      <c r="H19" s="678">
        <v>24221094.510000065</v>
      </c>
      <c r="I19" s="678">
        <v>77390400</v>
      </c>
      <c r="J19" s="678">
        <v>98225890.906450093</v>
      </c>
      <c r="K19" s="678">
        <v>129106109</v>
      </c>
      <c r="L19" s="678">
        <v>81976375</v>
      </c>
      <c r="M19" s="678">
        <v>155556945</v>
      </c>
      <c r="N19" s="678">
        <v>119293891</v>
      </c>
      <c r="O19" s="624">
        <v>123990909.08473629</v>
      </c>
      <c r="S19" s="11"/>
    </row>
    <row r="20" spans="1:20" ht="14.25" x14ac:dyDescent="0.2">
      <c r="A20" s="1513" t="s">
        <v>1138</v>
      </c>
      <c r="B20" s="1514"/>
      <c r="C20" s="641">
        <f>C17+C18+C19</f>
        <v>1024053651.0614815</v>
      </c>
      <c r="D20" s="641">
        <v>844558097</v>
      </c>
      <c r="E20" s="641">
        <f>E17+E18+E19</f>
        <v>761437066.51333988</v>
      </c>
      <c r="F20" s="641">
        <f>F17+F18+F19</f>
        <v>801747171.20391738</v>
      </c>
      <c r="G20" s="641">
        <v>791498981.90755153</v>
      </c>
      <c r="H20" s="641">
        <v>749111763.6487323</v>
      </c>
      <c r="I20" s="641">
        <v>900625865.64033866</v>
      </c>
      <c r="J20" s="641">
        <v>1000699399.6262729</v>
      </c>
      <c r="K20" s="641">
        <v>1095169426.2806416</v>
      </c>
      <c r="L20" s="641">
        <v>1047713500.3396204</v>
      </c>
      <c r="M20" s="700">
        <f>M17+M18+M19</f>
        <v>881308487</v>
      </c>
      <c r="N20" s="700">
        <v>805457167.19083881</v>
      </c>
      <c r="O20" s="695">
        <f>O17+O18+O19</f>
        <v>1284752403.0847363</v>
      </c>
      <c r="P20" s="11"/>
    </row>
    <row r="21" spans="1:20" ht="15" x14ac:dyDescent="0.2">
      <c r="A21" s="642" t="s">
        <v>1165</v>
      </c>
      <c r="B21" s="1521" t="s">
        <v>1159</v>
      </c>
      <c r="C21" s="1522"/>
      <c r="D21" s="1522"/>
      <c r="E21" s="1522"/>
      <c r="F21" s="1522"/>
      <c r="G21" s="1522"/>
      <c r="H21" s="1522"/>
      <c r="I21" s="1522"/>
      <c r="J21" s="1522"/>
      <c r="K21" s="1522"/>
      <c r="L21" s="1522"/>
      <c r="M21" s="1522"/>
      <c r="N21" s="1522"/>
      <c r="O21" s="1523"/>
    </row>
    <row r="22" spans="1:20" ht="16.5" customHeight="1" x14ac:dyDescent="0.25">
      <c r="A22" s="622" t="s">
        <v>748</v>
      </c>
      <c r="B22" s="616" t="s">
        <v>14</v>
      </c>
      <c r="C22" s="617">
        <f>C20</f>
        <v>1024053651.0614815</v>
      </c>
      <c r="D22" s="617">
        <f>D20</f>
        <v>844558097</v>
      </c>
      <c r="E22" s="674">
        <f>E20</f>
        <v>761437066.51333988</v>
      </c>
      <c r="F22" s="674">
        <v>801747171.20391738</v>
      </c>
      <c r="G22" s="674">
        <v>791498981.90755153</v>
      </c>
      <c r="H22" s="674">
        <v>749111763.6487323</v>
      </c>
      <c r="I22" s="674">
        <v>900625865.64033866</v>
      </c>
      <c r="J22" s="674">
        <v>1000699399.6262729</v>
      </c>
      <c r="K22" s="674">
        <v>1095169426.2806416</v>
      </c>
      <c r="L22" s="674">
        <v>1047713500.3396204</v>
      </c>
      <c r="M22" s="674">
        <f>M20</f>
        <v>881308487</v>
      </c>
      <c r="N22" s="674">
        <v>805457167.19083881</v>
      </c>
      <c r="O22" s="623">
        <f>O20</f>
        <v>1284752403.0847363</v>
      </c>
    </row>
    <row r="23" spans="1:20" ht="15" x14ac:dyDescent="0.25">
      <c r="A23" s="622" t="s">
        <v>749</v>
      </c>
      <c r="B23" s="616" t="s">
        <v>1128</v>
      </c>
      <c r="C23" s="619">
        <v>885196245.22094178</v>
      </c>
      <c r="D23" s="619">
        <v>754634392</v>
      </c>
      <c r="E23" s="678">
        <v>655913663</v>
      </c>
      <c r="F23" s="678">
        <v>640038166</v>
      </c>
      <c r="G23" s="678">
        <v>632744699.76366639</v>
      </c>
      <c r="H23" s="678">
        <v>550818616</v>
      </c>
      <c r="I23" s="678">
        <v>652619863.34806168</v>
      </c>
      <c r="J23" s="678">
        <v>810255475.33310413</v>
      </c>
      <c r="K23" s="678">
        <v>889495508.36784279</v>
      </c>
      <c r="L23" s="678">
        <v>824550260.06064868</v>
      </c>
      <c r="M23" s="678">
        <v>634507239</v>
      </c>
      <c r="N23" s="678">
        <v>617768603</v>
      </c>
      <c r="O23" s="624">
        <f>Comparison!D28</f>
        <v>948997017.7094475</v>
      </c>
    </row>
    <row r="24" spans="1:20" ht="15" x14ac:dyDescent="0.25">
      <c r="A24" s="622" t="s">
        <v>750</v>
      </c>
      <c r="B24" s="616" t="s">
        <v>1129</v>
      </c>
      <c r="C24" s="619">
        <v>527708571.92075557</v>
      </c>
      <c r="D24" s="619">
        <v>431008192</v>
      </c>
      <c r="E24" s="678">
        <v>348534086</v>
      </c>
      <c r="F24" s="678">
        <v>333758470</v>
      </c>
      <c r="G24" s="678">
        <v>333361058.50789881</v>
      </c>
      <c r="H24" s="678">
        <v>368583379</v>
      </c>
      <c r="I24" s="678">
        <v>431417302.14576524</v>
      </c>
      <c r="J24" s="678">
        <v>495439242.67996848</v>
      </c>
      <c r="K24" s="678">
        <v>528988831.21491176</v>
      </c>
      <c r="L24" s="678">
        <v>514931759.75092572</v>
      </c>
      <c r="M24" s="678">
        <v>338548698</v>
      </c>
      <c r="N24" s="678">
        <v>333417748</v>
      </c>
      <c r="O24" s="624">
        <f>Comparison!D29</f>
        <v>672590792.27805817</v>
      </c>
    </row>
    <row r="25" spans="1:20" ht="15" x14ac:dyDescent="0.25">
      <c r="A25" s="622" t="s">
        <v>751</v>
      </c>
      <c r="B25" s="616" t="s">
        <v>1130</v>
      </c>
      <c r="C25" s="619">
        <v>338275734</v>
      </c>
      <c r="D25" s="619">
        <v>280577375</v>
      </c>
      <c r="E25" s="678">
        <v>279065557</v>
      </c>
      <c r="F25" s="678">
        <v>292119421</v>
      </c>
      <c r="G25" s="678">
        <v>282295647</v>
      </c>
      <c r="H25" s="678">
        <v>287448248.75438929</v>
      </c>
      <c r="I25" s="678">
        <v>304012070.20637739</v>
      </c>
      <c r="J25" s="678">
        <v>370802807.58552241</v>
      </c>
      <c r="K25" s="678">
        <v>391674396</v>
      </c>
      <c r="L25" s="678">
        <v>401014632.3778854</v>
      </c>
      <c r="M25" s="678">
        <v>296415360</v>
      </c>
      <c r="N25" s="678">
        <v>279332840.60852557</v>
      </c>
      <c r="O25" s="624">
        <f>Comparison!D33</f>
        <v>501761025</v>
      </c>
    </row>
    <row r="26" spans="1:20" ht="15" x14ac:dyDescent="0.25">
      <c r="A26" s="622" t="s">
        <v>768</v>
      </c>
      <c r="B26" s="616" t="s">
        <v>1131</v>
      </c>
      <c r="C26" s="619">
        <v>314391233</v>
      </c>
      <c r="D26" s="619">
        <v>243432331</v>
      </c>
      <c r="E26" s="678">
        <v>234751697</v>
      </c>
      <c r="F26" s="678">
        <v>240865981</v>
      </c>
      <c r="G26" s="678">
        <v>233050903</v>
      </c>
      <c r="H26" s="678">
        <v>253931454</v>
      </c>
      <c r="I26" s="678">
        <v>283740681</v>
      </c>
      <c r="J26" s="678">
        <v>325546775.56927329</v>
      </c>
      <c r="K26" s="678">
        <v>350245006.73834896</v>
      </c>
      <c r="L26" s="678">
        <v>340174774.0874157</v>
      </c>
      <c r="M26" s="678">
        <v>242156000</v>
      </c>
      <c r="N26" s="678">
        <v>226001026.14485031</v>
      </c>
      <c r="O26" s="624">
        <f>Comparison!D30</f>
        <v>416348143</v>
      </c>
    </row>
    <row r="27" spans="1:20" ht="15" x14ac:dyDescent="0.25">
      <c r="A27" s="622" t="s">
        <v>769</v>
      </c>
      <c r="B27" s="616" t="s">
        <v>1132</v>
      </c>
      <c r="C27" s="619">
        <v>3038331531.9558506</v>
      </c>
      <c r="D27" s="619">
        <v>2330457326</v>
      </c>
      <c r="E27" s="678">
        <v>2232601351</v>
      </c>
      <c r="F27" s="678">
        <v>2359453758.4295454</v>
      </c>
      <c r="G27" s="678">
        <v>2443372254.672781</v>
      </c>
      <c r="H27" s="678">
        <v>2595059184.2783341</v>
      </c>
      <c r="I27" s="678">
        <v>2897630915.4877434</v>
      </c>
      <c r="J27" s="678">
        <v>3400893217.9581056</v>
      </c>
      <c r="K27" s="678">
        <v>3735404221.7157574</v>
      </c>
      <c r="L27" s="678">
        <v>3870389667.1560316</v>
      </c>
      <c r="M27" s="678">
        <v>2684885996</v>
      </c>
      <c r="N27" s="678">
        <v>2600357492.9020782</v>
      </c>
      <c r="O27" s="624">
        <f>Summary!C18</f>
        <v>5234811160.1566849</v>
      </c>
    </row>
    <row r="28" spans="1:20" ht="14.25" x14ac:dyDescent="0.2">
      <c r="A28" s="1513" t="s">
        <v>1133</v>
      </c>
      <c r="B28" s="1514"/>
      <c r="C28" s="641">
        <f>SUM(C22:C27)</f>
        <v>6127956967.159029</v>
      </c>
      <c r="D28" s="641">
        <f>SUM(D22:D27)</f>
        <v>4884667713</v>
      </c>
      <c r="E28" s="641">
        <f>SUM(E22:E27)</f>
        <v>4512303420.51334</v>
      </c>
      <c r="F28" s="641">
        <f>SUM(F22:F27)</f>
        <v>4667982967.6334629</v>
      </c>
      <c r="G28" s="641">
        <v>4716323544.8518982</v>
      </c>
      <c r="H28" s="641">
        <v>4804952645.6814556</v>
      </c>
      <c r="I28" s="641">
        <v>5470046697.8282871</v>
      </c>
      <c r="J28" s="641">
        <v>6403636918.7522469</v>
      </c>
      <c r="K28" s="641">
        <v>6990977390.317503</v>
      </c>
      <c r="L28" s="641">
        <v>6998774593.7725277</v>
      </c>
      <c r="M28" s="700">
        <f>SUM(M22:M27)</f>
        <v>5077821780</v>
      </c>
      <c r="N28" s="700">
        <v>4862334877.8462925</v>
      </c>
      <c r="O28" s="695">
        <f>SUM(O22:O27)</f>
        <v>9059260541.2289276</v>
      </c>
    </row>
    <row r="29" spans="1:20" ht="14.25" x14ac:dyDescent="0.2">
      <c r="A29" s="625" t="s">
        <v>1166</v>
      </c>
      <c r="B29" s="620" t="s">
        <v>612</v>
      </c>
      <c r="C29" s="618">
        <f>C8-C28</f>
        <v>135579888.5400877</v>
      </c>
      <c r="D29" s="618">
        <f>D8-D28</f>
        <v>113504568</v>
      </c>
      <c r="E29" s="618">
        <f>E8-E28</f>
        <v>139051455.98918343</v>
      </c>
      <c r="F29" s="618">
        <f>F8-F28</f>
        <v>114453321.24324894</v>
      </c>
      <c r="G29" s="618">
        <v>111924683.74406719</v>
      </c>
      <c r="H29" s="618">
        <v>122196101.44490719</v>
      </c>
      <c r="I29" s="618">
        <v>139495888.00698853</v>
      </c>
      <c r="J29" s="618">
        <v>180681643.99553013</v>
      </c>
      <c r="K29" s="618">
        <v>162370616.35900307</v>
      </c>
      <c r="L29" s="618">
        <v>187598082.04732418</v>
      </c>
      <c r="M29" s="701">
        <f>M8-M28</f>
        <v>156259537</v>
      </c>
      <c r="N29" s="701">
        <v>119697603.77088737</v>
      </c>
      <c r="O29" s="696">
        <f>O8-O28</f>
        <v>249018577.41991234</v>
      </c>
    </row>
    <row r="30" spans="1:20" ht="14.25" x14ac:dyDescent="0.2">
      <c r="A30" s="643" t="s">
        <v>1167</v>
      </c>
      <c r="B30" s="626" t="s">
        <v>1134</v>
      </c>
      <c r="C30" s="627">
        <f>C29/C8*100</f>
        <v>2.1645899379792937</v>
      </c>
      <c r="D30" s="627">
        <f>D29/D8*100</f>
        <v>2.2709214812677643</v>
      </c>
      <c r="E30" s="627">
        <f>E29/E8*100</f>
        <v>2.9894828427655877</v>
      </c>
      <c r="F30" s="627">
        <f>F29/F8*100</f>
        <v>2.3932011704881799</v>
      </c>
      <c r="G30" s="627">
        <v>2.3181219863796114</v>
      </c>
      <c r="H30" s="627">
        <v>2.480057082022844</v>
      </c>
      <c r="I30" s="627">
        <v>2.4867604777478878</v>
      </c>
      <c r="J30" s="627">
        <v>2.7441206295481519</v>
      </c>
      <c r="K30" s="627">
        <v>2.2698548456954151</v>
      </c>
      <c r="L30" s="627">
        <v>2.6104697113543756</v>
      </c>
      <c r="M30" s="702">
        <f>M29/M8*100</f>
        <v>2.9854243282861859</v>
      </c>
      <c r="N30" s="702">
        <v>2.402585776237919</v>
      </c>
      <c r="O30" s="697">
        <f>O29/O8*100</f>
        <v>2.6752375411799969</v>
      </c>
    </row>
  </sheetData>
  <mergeCells count="9">
    <mergeCell ref="A28:B28"/>
    <mergeCell ref="A1:O1"/>
    <mergeCell ref="A2:O2"/>
    <mergeCell ref="B5:O5"/>
    <mergeCell ref="B9:O9"/>
    <mergeCell ref="B21:O21"/>
    <mergeCell ref="A8:B8"/>
    <mergeCell ref="A13:B13"/>
    <mergeCell ref="A20:B2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B4:O23"/>
  <sheetViews>
    <sheetView workbookViewId="0">
      <selection activeCell="I6" sqref="I6"/>
    </sheetView>
  </sheetViews>
  <sheetFormatPr defaultRowHeight="12.75" x14ac:dyDescent="0.2"/>
  <cols>
    <col min="2" max="2" width="5.28515625" customWidth="1"/>
    <col min="3" max="3" width="11.5703125" bestFit="1" customWidth="1"/>
    <col min="4" max="4" width="11.5703125" customWidth="1"/>
    <col min="5" max="5" width="12.7109375" bestFit="1" customWidth="1"/>
    <col min="6" max="6" width="11.28515625" bestFit="1" customWidth="1"/>
    <col min="7" max="10" width="11.140625" bestFit="1" customWidth="1"/>
    <col min="11" max="11" width="13.140625" bestFit="1" customWidth="1"/>
  </cols>
  <sheetData>
    <row r="4" spans="2:15" x14ac:dyDescent="0.2">
      <c r="C4" s="955"/>
      <c r="D4" s="972"/>
      <c r="E4" s="1526" t="str">
        <f>'Gen-Ind'!H3</f>
        <v>Month: June/2025</v>
      </c>
      <c r="F4" s="1527"/>
      <c r="G4" s="1527"/>
      <c r="H4" s="1527"/>
      <c r="I4" s="1527"/>
      <c r="J4" s="1527"/>
      <c r="K4" s="1528"/>
    </row>
    <row r="5" spans="2:15" x14ac:dyDescent="0.2">
      <c r="B5" s="830" t="s">
        <v>1284</v>
      </c>
      <c r="C5" s="831" t="s">
        <v>17</v>
      </c>
      <c r="D5" s="831" t="s">
        <v>14</v>
      </c>
      <c r="E5" s="832" t="s">
        <v>1132</v>
      </c>
      <c r="F5" s="833" t="s">
        <v>1130</v>
      </c>
      <c r="G5" s="830" t="s">
        <v>1131</v>
      </c>
      <c r="H5" s="830" t="s">
        <v>1129</v>
      </c>
      <c r="I5" s="830" t="s">
        <v>1128</v>
      </c>
      <c r="J5" s="830" t="s">
        <v>1504</v>
      </c>
      <c r="K5" s="830" t="s">
        <v>1431</v>
      </c>
    </row>
    <row r="6" spans="2:15" x14ac:dyDescent="0.2">
      <c r="B6" s="835">
        <v>1</v>
      </c>
      <c r="C6" s="826" t="s">
        <v>5</v>
      </c>
      <c r="D6" s="1071" t="s">
        <v>1503</v>
      </c>
      <c r="E6" s="839">
        <f>Comparison!D50</f>
        <v>1484388474.1566846</v>
      </c>
      <c r="F6" s="953"/>
      <c r="G6" s="954"/>
      <c r="H6" s="828">
        <f>Comparison!D29</f>
        <v>672590792.27805817</v>
      </c>
      <c r="I6" s="828">
        <f>Comparison!D28</f>
        <v>948997017.7094475</v>
      </c>
      <c r="J6" s="1066"/>
      <c r="K6" s="827">
        <f>Diff!C6</f>
        <v>1600637969.9554343</v>
      </c>
    </row>
    <row r="7" spans="2:15" x14ac:dyDescent="0.2">
      <c r="B7" s="835">
        <v>2</v>
      </c>
      <c r="C7" s="826" t="s">
        <v>1211</v>
      </c>
      <c r="D7" s="1074">
        <f>Comparison!D24</f>
        <v>448293825</v>
      </c>
      <c r="E7" s="840">
        <f>199459986+32885803</f>
        <v>232345789</v>
      </c>
      <c r="F7" s="828"/>
      <c r="G7" s="954"/>
      <c r="H7" s="954"/>
      <c r="I7" s="954"/>
      <c r="J7" s="1065"/>
      <c r="K7" s="827">
        <f>Diff!C8</f>
        <v>22559610.178062968</v>
      </c>
    </row>
    <row r="8" spans="2:15" x14ac:dyDescent="0.2">
      <c r="B8" s="835">
        <v>3</v>
      </c>
      <c r="C8" s="826" t="s">
        <v>1210</v>
      </c>
      <c r="D8" s="1073"/>
      <c r="E8" s="840"/>
      <c r="F8" s="828"/>
      <c r="G8" s="954"/>
      <c r="H8" s="954"/>
      <c r="I8" s="954"/>
      <c r="J8" s="1065"/>
      <c r="K8" s="827">
        <f>Diff!C9</f>
        <v>1221581310.0917671</v>
      </c>
    </row>
    <row r="9" spans="2:15" x14ac:dyDescent="0.2">
      <c r="B9" s="835">
        <v>4</v>
      </c>
      <c r="C9" s="826" t="s">
        <v>1287</v>
      </c>
      <c r="D9" s="973">
        <f>Comparison!D17</f>
        <v>209581684</v>
      </c>
      <c r="E9" s="840">
        <v>514172168</v>
      </c>
      <c r="F9" s="828"/>
      <c r="G9" s="954"/>
      <c r="H9" s="954"/>
      <c r="I9" s="954"/>
      <c r="J9" s="1065"/>
      <c r="K9" s="827">
        <f>Diff!C10</f>
        <v>1062391569.9486468</v>
      </c>
      <c r="O9" s="365" t="s">
        <v>1329</v>
      </c>
    </row>
    <row r="10" spans="2:15" x14ac:dyDescent="0.2">
      <c r="B10" s="835">
        <v>5</v>
      </c>
      <c r="C10" s="826" t="s">
        <v>196</v>
      </c>
      <c r="D10" s="11">
        <f>Comparison!D11</f>
        <v>277742112</v>
      </c>
      <c r="E10" s="840">
        <v>404738415</v>
      </c>
      <c r="F10" s="828"/>
      <c r="G10" s="954"/>
      <c r="H10" s="954"/>
      <c r="I10" s="954"/>
      <c r="J10" s="1065"/>
      <c r="K10" s="827">
        <f>Diff!C7</f>
        <v>194841650.39999965</v>
      </c>
    </row>
    <row r="11" spans="2:15" x14ac:dyDescent="0.2">
      <c r="B11" s="835">
        <v>6</v>
      </c>
      <c r="C11" s="826" t="s">
        <v>1288</v>
      </c>
      <c r="D11" s="1071" t="s">
        <v>1503</v>
      </c>
      <c r="E11" s="1068"/>
      <c r="F11" s="828"/>
      <c r="G11" s="977"/>
      <c r="H11" s="954"/>
      <c r="I11" s="954"/>
      <c r="J11" s="1065">
        <f>Comparison!D26</f>
        <v>220445748.64626628</v>
      </c>
      <c r="K11" s="827">
        <f>Diff!C17</f>
        <v>1215184993.174252</v>
      </c>
      <c r="O11" s="365" t="s">
        <v>1329</v>
      </c>
    </row>
    <row r="12" spans="2:15" x14ac:dyDescent="0.2">
      <c r="B12" s="835">
        <v>7</v>
      </c>
      <c r="C12" s="826" t="s">
        <v>1235</v>
      </c>
      <c r="D12" s="1071" t="s">
        <v>1503</v>
      </c>
      <c r="E12" s="1069">
        <f>Comparison!D31</f>
        <v>993769293</v>
      </c>
      <c r="F12" s="828"/>
      <c r="G12" s="1065">
        <f>Comparison!D30</f>
        <v>416348143</v>
      </c>
      <c r="H12" s="954"/>
      <c r="I12" s="954"/>
      <c r="J12" s="1065"/>
      <c r="K12" s="827">
        <f>Diff!C15</f>
        <v>652308217.8943274</v>
      </c>
    </row>
    <row r="13" spans="2:15" x14ac:dyDescent="0.2">
      <c r="B13" s="835">
        <v>8</v>
      </c>
      <c r="C13" s="826" t="s">
        <v>1236</v>
      </c>
      <c r="D13" s="1071" t="s">
        <v>1503</v>
      </c>
      <c r="E13" s="1070"/>
      <c r="F13" s="828"/>
      <c r="G13" s="1064"/>
      <c r="H13" s="954"/>
      <c r="I13" s="954"/>
      <c r="J13" s="1065"/>
      <c r="K13" s="827">
        <f>Diff!C16</f>
        <v>776261974.90327084</v>
      </c>
    </row>
    <row r="14" spans="2:15" x14ac:dyDescent="0.2">
      <c r="B14" s="835">
        <v>9</v>
      </c>
      <c r="C14" s="826" t="s">
        <v>0</v>
      </c>
      <c r="D14" s="1071" t="s">
        <v>1503</v>
      </c>
      <c r="E14" s="1068"/>
      <c r="F14" s="1066"/>
      <c r="G14" s="954"/>
      <c r="H14" s="954"/>
      <c r="I14" s="954"/>
      <c r="J14" s="1065"/>
      <c r="K14" s="827">
        <f>Diff!C12</f>
        <v>758547656.06231439</v>
      </c>
    </row>
    <row r="15" spans="2:15" x14ac:dyDescent="0.2">
      <c r="B15" s="835">
        <v>10</v>
      </c>
      <c r="C15" s="826" t="s">
        <v>2</v>
      </c>
      <c r="D15" s="1071" t="s">
        <v>1503</v>
      </c>
      <c r="E15" s="1069">
        <f>Comparison!D34</f>
        <v>1066370426</v>
      </c>
      <c r="F15" s="1065">
        <f>Comparison!D33</f>
        <v>501761025</v>
      </c>
      <c r="G15" s="954"/>
      <c r="H15" s="954"/>
      <c r="I15" s="954"/>
      <c r="J15" s="1065"/>
      <c r="K15" s="827">
        <f>Diff!C14</f>
        <v>270899714.54338002</v>
      </c>
    </row>
    <row r="16" spans="2:15" x14ac:dyDescent="0.2">
      <c r="B16" s="835">
        <v>11</v>
      </c>
      <c r="C16" s="826" t="s">
        <v>1</v>
      </c>
      <c r="D16" s="1071" t="s">
        <v>1503</v>
      </c>
      <c r="E16" s="1070"/>
      <c r="F16" s="1067"/>
      <c r="G16" s="954"/>
      <c r="H16" s="954"/>
      <c r="I16" s="954"/>
      <c r="J16" s="1065"/>
      <c r="K16" s="827">
        <f>Diff!C13</f>
        <v>570470875.90159142</v>
      </c>
    </row>
    <row r="17" spans="2:11" x14ac:dyDescent="0.2">
      <c r="B17" s="835">
        <v>12</v>
      </c>
      <c r="C17" s="826" t="s">
        <v>4</v>
      </c>
      <c r="D17" s="973">
        <f>Comparison!D14</f>
        <v>125004929</v>
      </c>
      <c r="E17" s="840">
        <v>171086079</v>
      </c>
      <c r="F17" s="828"/>
      <c r="G17" s="954"/>
      <c r="H17" s="954"/>
      <c r="I17" s="954"/>
      <c r="J17" s="1067"/>
      <c r="K17" s="827">
        <f>Diff!C11</f>
        <v>962593575.59579277</v>
      </c>
    </row>
    <row r="18" spans="2:11" x14ac:dyDescent="0.2">
      <c r="B18" s="834"/>
      <c r="C18" s="834"/>
      <c r="D18" s="836">
        <f>SUM(D6:D17)*0+947106736</f>
        <v>947106736</v>
      </c>
      <c r="E18" s="836">
        <f>SUM(E6:E17)</f>
        <v>4866870644.1566849</v>
      </c>
      <c r="F18" s="836">
        <f t="shared" ref="F18:K18" si="0">SUM(F6:F17)</f>
        <v>501761025</v>
      </c>
      <c r="G18" s="836">
        <f t="shared" si="0"/>
        <v>416348143</v>
      </c>
      <c r="H18" s="836">
        <f t="shared" si="0"/>
        <v>672590792.27805817</v>
      </c>
      <c r="I18" s="836">
        <f t="shared" si="0"/>
        <v>948997017.7094475</v>
      </c>
      <c r="J18" s="836">
        <f t="shared" si="0"/>
        <v>220445748.64626628</v>
      </c>
      <c r="K18" s="836">
        <f t="shared" si="0"/>
        <v>9308279118.648838</v>
      </c>
    </row>
    <row r="21" spans="2:11" x14ac:dyDescent="0.2">
      <c r="D21" s="1413" t="s">
        <v>1085</v>
      </c>
      <c r="E21" s="1413"/>
      <c r="F21" s="1529">
        <f>K18</f>
        <v>9308279118.648838</v>
      </c>
      <c r="G21" s="1413"/>
    </row>
    <row r="22" spans="2:11" x14ac:dyDescent="0.2">
      <c r="D22" s="1413" t="s">
        <v>1505</v>
      </c>
      <c r="E22" s="1413"/>
      <c r="F22" s="1529">
        <f>D18+E18+F18+G18+H18+I18+J18</f>
        <v>8574120106.7904568</v>
      </c>
      <c r="G22" s="1413"/>
    </row>
    <row r="23" spans="2:11" x14ac:dyDescent="0.2">
      <c r="D23" s="1413" t="s">
        <v>1506</v>
      </c>
      <c r="E23" s="1413"/>
      <c r="F23" s="1072">
        <f>(F21-F22)/F21</f>
        <v>7.8871615526388467E-2</v>
      </c>
    </row>
  </sheetData>
  <mergeCells count="6">
    <mergeCell ref="E4:K4"/>
    <mergeCell ref="D23:E23"/>
    <mergeCell ref="D21:E21"/>
    <mergeCell ref="F21:G21"/>
    <mergeCell ref="D22:E22"/>
    <mergeCell ref="F22:G2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3:O37"/>
  <sheetViews>
    <sheetView workbookViewId="0">
      <selection activeCell="N21" sqref="N21"/>
    </sheetView>
  </sheetViews>
  <sheetFormatPr defaultRowHeight="12.75" x14ac:dyDescent="0.2"/>
  <cols>
    <col min="1" max="1" width="18.28515625" bestFit="1" customWidth="1"/>
    <col min="2" max="3" width="10.85546875" bestFit="1" customWidth="1"/>
    <col min="6" max="6" width="11" bestFit="1" customWidth="1"/>
    <col min="7" max="8" width="10.85546875" bestFit="1" customWidth="1"/>
    <col min="12" max="12" width="15.42578125" customWidth="1"/>
  </cols>
  <sheetData>
    <row r="3" spans="1:15" x14ac:dyDescent="0.2">
      <c r="A3" s="1413"/>
      <c r="B3" s="1413"/>
      <c r="C3" s="1413"/>
      <c r="D3" s="1413"/>
      <c r="E3" s="1413"/>
      <c r="F3" s="1413"/>
    </row>
    <row r="4" spans="1:15" x14ac:dyDescent="0.2">
      <c r="A4" s="1530" t="s">
        <v>1452</v>
      </c>
      <c r="B4" s="1530"/>
      <c r="C4" s="1530"/>
      <c r="D4" s="1530"/>
      <c r="E4" s="1530"/>
      <c r="F4" s="1530"/>
      <c r="G4" s="1530"/>
      <c r="H4" s="1530"/>
      <c r="I4" s="1530"/>
      <c r="J4" s="1530"/>
      <c r="K4" s="1530"/>
      <c r="L4" s="1530"/>
    </row>
    <row r="5" spans="1:15" x14ac:dyDescent="0.2">
      <c r="A5" s="1531" t="s">
        <v>1443</v>
      </c>
      <c r="B5" s="1532" t="s">
        <v>1441</v>
      </c>
      <c r="C5" s="1532"/>
      <c r="D5" s="1532"/>
      <c r="E5" s="1532"/>
      <c r="F5" s="1532"/>
      <c r="G5" s="1532" t="s">
        <v>745</v>
      </c>
      <c r="H5" s="1532"/>
      <c r="I5" s="1532"/>
      <c r="J5" s="1532"/>
      <c r="K5" s="1532"/>
      <c r="L5" s="831" t="s">
        <v>7</v>
      </c>
    </row>
    <row r="6" spans="1:15" ht="15" x14ac:dyDescent="0.2">
      <c r="A6" s="1531"/>
      <c r="B6" s="976" t="s">
        <v>1476</v>
      </c>
      <c r="C6" s="976" t="s">
        <v>1440</v>
      </c>
      <c r="D6" s="977" t="s">
        <v>1237</v>
      </c>
      <c r="E6" s="977" t="s">
        <v>424</v>
      </c>
      <c r="F6" s="977" t="s">
        <v>1442</v>
      </c>
      <c r="G6" s="980" t="str">
        <f>B6</f>
        <v>Previous</v>
      </c>
      <c r="H6" s="980" t="str">
        <f>C6</f>
        <v xml:space="preserve">2023-01-01 </v>
      </c>
      <c r="I6" s="977" t="s">
        <v>1237</v>
      </c>
      <c r="J6" s="977" t="s">
        <v>424</v>
      </c>
      <c r="K6" s="977" t="s">
        <v>1442</v>
      </c>
      <c r="L6" s="978" t="s">
        <v>1442</v>
      </c>
    </row>
    <row r="7" spans="1:15" x14ac:dyDescent="0.2">
      <c r="A7" s="1531"/>
      <c r="B7" s="979">
        <v>9.23</v>
      </c>
      <c r="C7" s="979">
        <v>733.95</v>
      </c>
      <c r="D7" s="954">
        <f>C7-B7</f>
        <v>724.72</v>
      </c>
      <c r="E7" s="954">
        <v>5454545.4550000001</v>
      </c>
      <c r="F7" s="981">
        <f>D7*E7/1000</f>
        <v>3953018.1821476002</v>
      </c>
      <c r="G7" s="979">
        <v>1112.06</v>
      </c>
      <c r="H7" s="979">
        <v>1686.77</v>
      </c>
      <c r="I7" s="954">
        <f>H7-G7</f>
        <v>574.71</v>
      </c>
      <c r="J7" s="954">
        <v>5454545.4550000001</v>
      </c>
      <c r="K7" s="981">
        <f>I7*J7/1000</f>
        <v>3134781.8184430506</v>
      </c>
      <c r="L7" s="982">
        <f>F7-K7</f>
        <v>818236.36370454961</v>
      </c>
    </row>
    <row r="9" spans="1:15" x14ac:dyDescent="0.2">
      <c r="A9" s="1530" t="s">
        <v>1453</v>
      </c>
      <c r="B9" s="1530"/>
      <c r="C9" s="1530"/>
      <c r="D9" s="1530"/>
      <c r="E9" s="1530"/>
      <c r="F9" s="1530"/>
      <c r="G9" s="1530"/>
      <c r="H9" s="1530"/>
      <c r="I9" s="1530"/>
      <c r="J9" s="1530"/>
      <c r="K9" s="1530"/>
      <c r="L9" s="1530"/>
    </row>
    <row r="10" spans="1:15" x14ac:dyDescent="0.2">
      <c r="A10" s="1531" t="s">
        <v>1443</v>
      </c>
      <c r="B10" s="1532" t="s">
        <v>1441</v>
      </c>
      <c r="C10" s="1532"/>
      <c r="D10" s="1532"/>
      <c r="E10" s="1532"/>
      <c r="F10" s="1532"/>
      <c r="G10" s="1532" t="s">
        <v>745</v>
      </c>
      <c r="H10" s="1532"/>
      <c r="I10" s="1532"/>
      <c r="J10" s="1532"/>
      <c r="K10" s="1532"/>
      <c r="L10" s="983" t="s">
        <v>7</v>
      </c>
    </row>
    <row r="11" spans="1:15" ht="15" x14ac:dyDescent="0.2">
      <c r="A11" s="1531"/>
      <c r="B11" s="980" t="str">
        <f>B6</f>
        <v>Previous</v>
      </c>
      <c r="C11" s="980" t="str">
        <f>C6</f>
        <v xml:space="preserve">2023-01-01 </v>
      </c>
      <c r="D11" s="977" t="s">
        <v>1237</v>
      </c>
      <c r="E11" s="977" t="s">
        <v>424</v>
      </c>
      <c r="F11" s="977" t="s">
        <v>1442</v>
      </c>
      <c r="G11" s="980" t="str">
        <f>B6</f>
        <v>Previous</v>
      </c>
      <c r="H11" s="980" t="str">
        <f>C6</f>
        <v xml:space="preserve">2023-01-01 </v>
      </c>
      <c r="I11" s="977" t="s">
        <v>1237</v>
      </c>
      <c r="J11" s="977" t="s">
        <v>424</v>
      </c>
      <c r="K11" s="977" t="s">
        <v>1442</v>
      </c>
      <c r="L11" s="977" t="s">
        <v>1442</v>
      </c>
    </row>
    <row r="12" spans="1:15" x14ac:dyDescent="0.2">
      <c r="A12" s="1531"/>
      <c r="B12" s="979">
        <v>0</v>
      </c>
      <c r="C12" s="979">
        <v>0</v>
      </c>
      <c r="D12" s="954">
        <f>C12-B12</f>
        <v>0</v>
      </c>
      <c r="E12" s="954">
        <v>5454545.4550000001</v>
      </c>
      <c r="F12" s="981">
        <f>D12*E12/1000</f>
        <v>0</v>
      </c>
      <c r="G12" s="979">
        <v>13.92</v>
      </c>
      <c r="H12" s="979">
        <v>13.92</v>
      </c>
      <c r="I12" s="954">
        <f>H12-G12</f>
        <v>0</v>
      </c>
      <c r="J12" s="954">
        <v>5454545.4550000001</v>
      </c>
      <c r="K12" s="981">
        <f>I12*J12/1000</f>
        <v>0</v>
      </c>
      <c r="L12" s="982">
        <f>F12-K12</f>
        <v>0</v>
      </c>
      <c r="O12" t="s">
        <v>1329</v>
      </c>
    </row>
    <row r="14" spans="1:15" x14ac:dyDescent="0.2">
      <c r="A14" s="1530" t="s">
        <v>1447</v>
      </c>
      <c r="B14" s="1530"/>
      <c r="C14" s="1530"/>
      <c r="D14" s="1530"/>
      <c r="E14" s="1530"/>
      <c r="F14" s="1530"/>
      <c r="G14" s="1530"/>
      <c r="H14" s="1530"/>
      <c r="I14" s="1530"/>
      <c r="J14" s="1530"/>
      <c r="K14" s="1530"/>
      <c r="L14" s="1530"/>
    </row>
    <row r="15" spans="1:15" x14ac:dyDescent="0.2">
      <c r="A15" s="1531" t="s">
        <v>1443</v>
      </c>
      <c r="B15" s="1532" t="s">
        <v>1441</v>
      </c>
      <c r="C15" s="1532"/>
      <c r="D15" s="1532"/>
      <c r="E15" s="1532"/>
      <c r="F15" s="1532"/>
      <c r="G15" s="1532" t="s">
        <v>745</v>
      </c>
      <c r="H15" s="1532"/>
      <c r="I15" s="1532"/>
      <c r="J15" s="1532"/>
      <c r="K15" s="1532"/>
      <c r="L15" s="983" t="s">
        <v>7</v>
      </c>
    </row>
    <row r="16" spans="1:15" ht="15" x14ac:dyDescent="0.2">
      <c r="A16" s="1531"/>
      <c r="B16" s="980" t="str">
        <f>B11</f>
        <v>Previous</v>
      </c>
      <c r="C16" s="980" t="str">
        <f>C11</f>
        <v xml:space="preserve">2023-01-01 </v>
      </c>
      <c r="D16" s="977" t="s">
        <v>1237</v>
      </c>
      <c r="E16" s="977" t="s">
        <v>424</v>
      </c>
      <c r="F16" s="977" t="s">
        <v>1442</v>
      </c>
      <c r="G16" s="980" t="str">
        <f>B11</f>
        <v>Previous</v>
      </c>
      <c r="H16" s="980" t="str">
        <f>C11</f>
        <v xml:space="preserve">2023-01-01 </v>
      </c>
      <c r="I16" s="977" t="s">
        <v>1237</v>
      </c>
      <c r="J16" s="977" t="s">
        <v>424</v>
      </c>
      <c r="K16" s="977" t="s">
        <v>1442</v>
      </c>
      <c r="L16" s="977" t="s">
        <v>1442</v>
      </c>
    </row>
    <row r="17" spans="1:15" x14ac:dyDescent="0.2">
      <c r="A17" s="1531"/>
      <c r="B17" s="979">
        <v>0</v>
      </c>
      <c r="C17" s="979">
        <v>0</v>
      </c>
      <c r="D17" s="954">
        <f>C17-B17</f>
        <v>0</v>
      </c>
      <c r="E17" s="954">
        <v>363636.36359999998</v>
      </c>
      <c r="F17" s="981">
        <f>D17*E17/1000</f>
        <v>0</v>
      </c>
      <c r="G17" s="979" t="s">
        <v>1448</v>
      </c>
      <c r="H17" s="979" t="s">
        <v>1449</v>
      </c>
      <c r="I17" s="954">
        <f>H17-G17</f>
        <v>1179.0900000000001</v>
      </c>
      <c r="J17" s="954">
        <v>363636.36359999998</v>
      </c>
      <c r="K17" s="981">
        <f>I17*J17/1000</f>
        <v>428759.99995712406</v>
      </c>
      <c r="L17" s="982">
        <f>F17-K17</f>
        <v>-428759.99995712406</v>
      </c>
    </row>
    <row r="19" spans="1:15" x14ac:dyDescent="0.2">
      <c r="C19" s="1533" t="s">
        <v>8</v>
      </c>
      <c r="D19" s="1534"/>
      <c r="E19" s="1534"/>
      <c r="F19" s="1534"/>
      <c r="G19" s="1535"/>
      <c r="H19" s="984">
        <f>F7+F12+F17</f>
        <v>3953018.1821476002</v>
      </c>
    </row>
    <row r="20" spans="1:15" x14ac:dyDescent="0.2">
      <c r="C20" s="1533" t="s">
        <v>745</v>
      </c>
      <c r="D20" s="1534"/>
      <c r="E20" s="1534"/>
      <c r="F20" s="1534"/>
      <c r="G20" s="1535"/>
      <c r="H20" s="984">
        <f>K7+K12+K17</f>
        <v>3563541.8184001748</v>
      </c>
    </row>
    <row r="21" spans="1:15" x14ac:dyDescent="0.2">
      <c r="C21" s="1536" t="s">
        <v>7</v>
      </c>
      <c r="D21" s="1537"/>
      <c r="E21" s="1537"/>
      <c r="F21" s="1537"/>
      <c r="G21" s="1538"/>
      <c r="H21" s="986">
        <f>H19-H20</f>
        <v>389476.36374742538</v>
      </c>
    </row>
    <row r="22" spans="1:15" x14ac:dyDescent="0.2">
      <c r="C22" s="1539" t="s">
        <v>1446</v>
      </c>
      <c r="D22" s="1540"/>
      <c r="E22" s="1540"/>
      <c r="F22" s="1540"/>
      <c r="G22" s="1541"/>
      <c r="H22" s="985">
        <f>L7-L27</f>
        <v>-381.81818184955046</v>
      </c>
    </row>
    <row r="24" spans="1:15" x14ac:dyDescent="0.2">
      <c r="A24" s="1542" t="s">
        <v>1444</v>
      </c>
      <c r="B24" s="1543"/>
      <c r="C24" s="1543"/>
      <c r="D24" s="1543"/>
      <c r="E24" s="1543"/>
      <c r="F24" s="1543"/>
      <c r="G24" s="1543"/>
      <c r="H24" s="1543"/>
      <c r="I24" s="1543"/>
      <c r="J24" s="1543"/>
      <c r="K24" s="1543"/>
      <c r="L24" s="1544"/>
    </row>
    <row r="25" spans="1:15" x14ac:dyDescent="0.2">
      <c r="A25" s="1531" t="s">
        <v>1443</v>
      </c>
      <c r="B25" s="1532" t="s">
        <v>1441</v>
      </c>
      <c r="C25" s="1532"/>
      <c r="D25" s="1532"/>
      <c r="E25" s="1532"/>
      <c r="F25" s="1532"/>
      <c r="G25" s="1532" t="s">
        <v>745</v>
      </c>
      <c r="H25" s="1532"/>
      <c r="I25" s="1532"/>
      <c r="J25" s="1532"/>
      <c r="K25" s="1532"/>
      <c r="L25" s="831" t="s">
        <v>7</v>
      </c>
    </row>
    <row r="26" spans="1:15" ht="15" x14ac:dyDescent="0.2">
      <c r="A26" s="1531"/>
      <c r="B26" s="980" t="str">
        <f>B6</f>
        <v>Previous</v>
      </c>
      <c r="C26" s="980" t="str">
        <f>C6</f>
        <v xml:space="preserve">2023-01-01 </v>
      </c>
      <c r="D26" s="977" t="s">
        <v>1237</v>
      </c>
      <c r="E26" s="977" t="s">
        <v>424</v>
      </c>
      <c r="F26" s="977" t="s">
        <v>1442</v>
      </c>
      <c r="G26" s="980" t="str">
        <f>B6</f>
        <v>Previous</v>
      </c>
      <c r="H26" s="980" t="str">
        <f>C6</f>
        <v xml:space="preserve">2023-01-01 </v>
      </c>
      <c r="I26" s="977" t="s">
        <v>1237</v>
      </c>
      <c r="J26" s="977" t="s">
        <v>424</v>
      </c>
      <c r="K26" s="977" t="s">
        <v>1442</v>
      </c>
      <c r="L26" s="978" t="s">
        <v>1442</v>
      </c>
    </row>
    <row r="27" spans="1:15" x14ac:dyDescent="0.2">
      <c r="A27" s="1531"/>
      <c r="B27" s="979">
        <v>9.23</v>
      </c>
      <c r="C27" s="979">
        <v>733.87</v>
      </c>
      <c r="D27" s="954">
        <f>C27-B27</f>
        <v>724.64</v>
      </c>
      <c r="E27" s="954">
        <v>5454545.4550000001</v>
      </c>
      <c r="F27" s="981">
        <f>D27*E27/1000</f>
        <v>3952581.8185112001</v>
      </c>
      <c r="G27" s="979">
        <v>1096.6099999999999</v>
      </c>
      <c r="H27" s="979">
        <v>1671.17</v>
      </c>
      <c r="I27" s="954">
        <f>H27-G27</f>
        <v>574.56000000000017</v>
      </c>
      <c r="J27" s="954">
        <v>5454545.4550000001</v>
      </c>
      <c r="K27" s="981">
        <f>I27*J27/1000</f>
        <v>3133963.636624801</v>
      </c>
      <c r="L27" s="982">
        <f>F27-K27</f>
        <v>818618.18188639916</v>
      </c>
      <c r="O27" t="s">
        <v>1329</v>
      </c>
    </row>
    <row r="29" spans="1:15" x14ac:dyDescent="0.2">
      <c r="A29" s="1530" t="s">
        <v>1445</v>
      </c>
      <c r="B29" s="1530"/>
      <c r="C29" s="1530"/>
      <c r="D29" s="1530"/>
      <c r="E29" s="1530"/>
      <c r="F29" s="1530"/>
      <c r="G29" s="1530"/>
      <c r="H29" s="1530"/>
      <c r="I29" s="1530"/>
      <c r="J29" s="1530"/>
      <c r="K29" s="1530"/>
      <c r="L29" s="1530"/>
    </row>
    <row r="30" spans="1:15" x14ac:dyDescent="0.2">
      <c r="A30" s="1531" t="s">
        <v>1443</v>
      </c>
      <c r="B30" s="1532" t="s">
        <v>1441</v>
      </c>
      <c r="C30" s="1532"/>
      <c r="D30" s="1532"/>
      <c r="E30" s="1532"/>
      <c r="F30" s="1532"/>
      <c r="G30" s="1532" t="s">
        <v>745</v>
      </c>
      <c r="H30" s="1532"/>
      <c r="I30" s="1532"/>
      <c r="J30" s="1532"/>
      <c r="K30" s="1532"/>
      <c r="L30" s="983" t="s">
        <v>7</v>
      </c>
    </row>
    <row r="31" spans="1:15" ht="15" x14ac:dyDescent="0.2">
      <c r="A31" s="1531"/>
      <c r="B31" s="980" t="str">
        <f>B6</f>
        <v>Previous</v>
      </c>
      <c r="C31" s="980" t="str">
        <f>C6</f>
        <v xml:space="preserve">2023-01-01 </v>
      </c>
      <c r="D31" s="977" t="s">
        <v>1237</v>
      </c>
      <c r="E31" s="977" t="s">
        <v>424</v>
      </c>
      <c r="F31" s="977" t="s">
        <v>1442</v>
      </c>
      <c r="G31" s="980" t="str">
        <f>B6</f>
        <v>Previous</v>
      </c>
      <c r="H31" s="980" t="str">
        <f>C6</f>
        <v xml:space="preserve">2023-01-01 </v>
      </c>
      <c r="I31" s="977" t="s">
        <v>1237</v>
      </c>
      <c r="J31" s="977" t="s">
        <v>424</v>
      </c>
      <c r="K31" s="977" t="s">
        <v>1442</v>
      </c>
      <c r="L31" s="977" t="s">
        <v>1442</v>
      </c>
    </row>
    <row r="32" spans="1:15" x14ac:dyDescent="0.2">
      <c r="A32" s="1531"/>
      <c r="B32" s="979">
        <v>0</v>
      </c>
      <c r="C32" s="979">
        <v>0</v>
      </c>
      <c r="D32" s="954">
        <f>C32-B32</f>
        <v>0</v>
      </c>
      <c r="E32" s="954">
        <v>5454545.4550000001</v>
      </c>
      <c r="F32" s="981">
        <f>D32*E32/1000</f>
        <v>0</v>
      </c>
      <c r="G32" s="979">
        <v>16.37</v>
      </c>
      <c r="H32" s="979">
        <v>16.37</v>
      </c>
      <c r="I32" s="954">
        <f>H32-G32</f>
        <v>0</v>
      </c>
      <c r="J32" s="954">
        <v>5454545.4550000001</v>
      </c>
      <c r="K32" s="981">
        <f>I32*J32/1000</f>
        <v>0</v>
      </c>
      <c r="L32" s="982">
        <f>F32-K32</f>
        <v>0</v>
      </c>
    </row>
    <row r="34" spans="1:12" x14ac:dyDescent="0.2">
      <c r="A34" s="1530" t="s">
        <v>1450</v>
      </c>
      <c r="B34" s="1530"/>
      <c r="C34" s="1530"/>
      <c r="D34" s="1530"/>
      <c r="E34" s="1530"/>
      <c r="F34" s="1530"/>
      <c r="G34" s="1530"/>
      <c r="H34" s="1530"/>
      <c r="I34" s="1530"/>
      <c r="J34" s="1530"/>
      <c r="K34" s="1530"/>
      <c r="L34" s="1530"/>
    </row>
    <row r="35" spans="1:12" x14ac:dyDescent="0.2">
      <c r="A35" s="1531" t="s">
        <v>1443</v>
      </c>
      <c r="B35" s="1532" t="s">
        <v>1441</v>
      </c>
      <c r="C35" s="1532"/>
      <c r="D35" s="1532"/>
      <c r="E35" s="1532"/>
      <c r="F35" s="1532"/>
      <c r="G35" s="1532" t="s">
        <v>745</v>
      </c>
      <c r="H35" s="1532"/>
      <c r="I35" s="1532"/>
      <c r="J35" s="1532"/>
      <c r="K35" s="1532"/>
      <c r="L35" s="983" t="s">
        <v>7</v>
      </c>
    </row>
    <row r="36" spans="1:12" ht="15" x14ac:dyDescent="0.2">
      <c r="A36" s="1531"/>
      <c r="B36" s="980" t="str">
        <f>B31</f>
        <v>Previous</v>
      </c>
      <c r="C36" s="980" t="str">
        <f>C31</f>
        <v xml:space="preserve">2023-01-01 </v>
      </c>
      <c r="D36" s="977" t="s">
        <v>1237</v>
      </c>
      <c r="E36" s="977" t="s">
        <v>424</v>
      </c>
      <c r="F36" s="977" t="s">
        <v>1442</v>
      </c>
      <c r="G36" s="980" t="str">
        <f>B31</f>
        <v>Previous</v>
      </c>
      <c r="H36" s="980" t="str">
        <f>C31</f>
        <v xml:space="preserve">2023-01-01 </v>
      </c>
      <c r="I36" s="977" t="s">
        <v>1237</v>
      </c>
      <c r="J36" s="977" t="s">
        <v>424</v>
      </c>
      <c r="K36" s="977" t="s">
        <v>1442</v>
      </c>
      <c r="L36" s="977" t="s">
        <v>1442</v>
      </c>
    </row>
    <row r="37" spans="1:12" x14ac:dyDescent="0.2">
      <c r="A37" s="1531"/>
      <c r="B37" s="979">
        <v>0</v>
      </c>
      <c r="C37" s="979">
        <v>0</v>
      </c>
      <c r="D37" s="954">
        <f>C37-B37</f>
        <v>0</v>
      </c>
      <c r="E37" s="954">
        <v>363636.36359999998</v>
      </c>
      <c r="F37" s="981">
        <f>D37*E37/1000</f>
        <v>0</v>
      </c>
      <c r="G37" s="979">
        <v>25371.54</v>
      </c>
      <c r="H37" s="979" t="s">
        <v>1451</v>
      </c>
      <c r="I37" s="954">
        <f>H37-G37</f>
        <v>1178.5900000000001</v>
      </c>
      <c r="J37" s="954">
        <v>363636.36359999998</v>
      </c>
      <c r="K37" s="981">
        <f>I37*J37/1000</f>
        <v>428578.18177532405</v>
      </c>
      <c r="L37" s="982">
        <f>F37-K37</f>
        <v>-428578.18177532405</v>
      </c>
    </row>
  </sheetData>
  <mergeCells count="29">
    <mergeCell ref="A14:L14"/>
    <mergeCell ref="A15:A17"/>
    <mergeCell ref="B15:F15"/>
    <mergeCell ref="G15:K15"/>
    <mergeCell ref="A34:L34"/>
    <mergeCell ref="A35:A37"/>
    <mergeCell ref="B35:F35"/>
    <mergeCell ref="G35:K35"/>
    <mergeCell ref="C19:G19"/>
    <mergeCell ref="C20:G20"/>
    <mergeCell ref="C21:G21"/>
    <mergeCell ref="A29:L29"/>
    <mergeCell ref="A30:A32"/>
    <mergeCell ref="B30:F30"/>
    <mergeCell ref="G30:K30"/>
    <mergeCell ref="C22:G22"/>
    <mergeCell ref="A24:L24"/>
    <mergeCell ref="A25:A27"/>
    <mergeCell ref="B25:F25"/>
    <mergeCell ref="G25:K25"/>
    <mergeCell ref="A3:F3"/>
    <mergeCell ref="A4:L4"/>
    <mergeCell ref="A5:A7"/>
    <mergeCell ref="A9:L9"/>
    <mergeCell ref="A10:A12"/>
    <mergeCell ref="B10:F10"/>
    <mergeCell ref="G10:K10"/>
    <mergeCell ref="B5:F5"/>
    <mergeCell ref="G5:K5"/>
  </mergeCells>
  <phoneticPr fontId="121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F12"/>
  <sheetViews>
    <sheetView view="pageBreakPreview" zoomScaleNormal="100" zoomScaleSheetLayoutView="100" workbookViewId="0">
      <selection activeCell="J17" sqref="J17"/>
    </sheetView>
  </sheetViews>
  <sheetFormatPr defaultRowHeight="12.75" x14ac:dyDescent="0.2"/>
  <cols>
    <col min="1" max="1" width="3.28515625" bestFit="1" customWidth="1"/>
    <col min="2" max="2" width="11.5703125" customWidth="1"/>
    <col min="3" max="3" width="15.5703125" bestFit="1" customWidth="1"/>
    <col min="4" max="4" width="14.28515625" customWidth="1"/>
    <col min="5" max="5" width="15.85546875" customWidth="1"/>
    <col min="6" max="6" width="18.28515625" hidden="1" customWidth="1"/>
  </cols>
  <sheetData>
    <row r="2" spans="1:6" x14ac:dyDescent="0.2">
      <c r="B2" s="1079"/>
      <c r="C2" s="1079"/>
      <c r="D2" s="1184" t="s">
        <v>1599</v>
      </c>
      <c r="E2" s="1185">
        <v>45383</v>
      </c>
    </row>
    <row r="3" spans="1:6" x14ac:dyDescent="0.2">
      <c r="A3" s="1189" t="s">
        <v>1284</v>
      </c>
      <c r="B3" s="1194" t="s">
        <v>1594</v>
      </c>
      <c r="C3" s="1194" t="s">
        <v>1595</v>
      </c>
      <c r="D3" s="1194" t="s">
        <v>1596</v>
      </c>
      <c r="E3" s="1182" t="s">
        <v>1597</v>
      </c>
      <c r="F3" s="1182" t="s">
        <v>1598</v>
      </c>
    </row>
    <row r="4" spans="1:6" x14ac:dyDescent="0.2">
      <c r="A4" s="954"/>
      <c r="B4" s="1187">
        <v>1</v>
      </c>
      <c r="C4" s="1187">
        <v>2</v>
      </c>
      <c r="D4" s="1187">
        <v>3</v>
      </c>
      <c r="E4" s="1187">
        <v>4</v>
      </c>
      <c r="F4" s="1187">
        <v>5</v>
      </c>
    </row>
    <row r="5" spans="1:6" x14ac:dyDescent="0.2">
      <c r="A5" s="1188">
        <v>1</v>
      </c>
      <c r="B5" s="954" t="s">
        <v>14</v>
      </c>
      <c r="C5" s="828">
        <f>Comparison!D25*7.2895</f>
        <v>7731408078.2250004</v>
      </c>
      <c r="D5" s="954"/>
      <c r="E5" s="828">
        <f>C5</f>
        <v>7731408078.2250004</v>
      </c>
      <c r="F5" s="954"/>
    </row>
    <row r="6" spans="1:6" x14ac:dyDescent="0.2">
      <c r="A6" s="1188">
        <v>2</v>
      </c>
      <c r="B6" s="954" t="s">
        <v>1128</v>
      </c>
      <c r="C6" s="954">
        <v>8342412351</v>
      </c>
      <c r="D6" s="954">
        <v>500544741</v>
      </c>
      <c r="E6" s="954">
        <f>C6-D6</f>
        <v>7841867610</v>
      </c>
      <c r="F6" s="1186">
        <v>45453</v>
      </c>
    </row>
    <row r="7" spans="1:6" x14ac:dyDescent="0.2">
      <c r="A7" s="1188">
        <v>3</v>
      </c>
      <c r="B7" s="826" t="s">
        <v>1129</v>
      </c>
      <c r="C7" s="954">
        <v>5949631939</v>
      </c>
      <c r="D7" s="954">
        <v>356977916</v>
      </c>
      <c r="E7" s="954">
        <f>C7-D7</f>
        <v>5592654023</v>
      </c>
      <c r="F7" s="1186">
        <v>45453</v>
      </c>
    </row>
    <row r="8" spans="1:6" x14ac:dyDescent="0.2">
      <c r="A8" s="1188">
        <v>4</v>
      </c>
      <c r="B8" s="826" t="s">
        <v>1130</v>
      </c>
      <c r="C8" s="954">
        <v>3173581729</v>
      </c>
      <c r="D8" s="954">
        <v>190414904</v>
      </c>
      <c r="E8" s="954">
        <f>C8-D8</f>
        <v>2983166825</v>
      </c>
      <c r="F8" s="1186">
        <v>45453</v>
      </c>
    </row>
    <row r="9" spans="1:6" x14ac:dyDescent="0.2">
      <c r="A9" s="1188">
        <v>5</v>
      </c>
      <c r="B9" s="826" t="s">
        <v>1131</v>
      </c>
      <c r="C9" s="954">
        <v>3072303035</v>
      </c>
      <c r="D9" s="954">
        <v>184338182</v>
      </c>
      <c r="E9" s="954">
        <f>C9-D9</f>
        <v>2887964853</v>
      </c>
      <c r="F9" s="1186">
        <v>45453</v>
      </c>
    </row>
    <row r="10" spans="1:6" x14ac:dyDescent="0.2">
      <c r="A10" s="1188">
        <v>6</v>
      </c>
      <c r="B10" s="826" t="s">
        <v>1132</v>
      </c>
      <c r="C10" s="954">
        <f>31082558025+616371</f>
        <v>31083174396</v>
      </c>
      <c r="D10" s="954">
        <v>1864953481</v>
      </c>
      <c r="E10" s="954">
        <f>C10-D10</f>
        <v>29218220915</v>
      </c>
      <c r="F10" s="1186">
        <v>45452</v>
      </c>
    </row>
    <row r="11" spans="1:6" ht="25.5" x14ac:dyDescent="0.2">
      <c r="A11" s="1183">
        <v>7</v>
      </c>
      <c r="B11" s="1190" t="s">
        <v>1600</v>
      </c>
      <c r="C11" s="1192">
        <v>2154708264</v>
      </c>
      <c r="D11" s="954"/>
      <c r="E11" s="1191">
        <f>C11</f>
        <v>2154708264</v>
      </c>
      <c r="F11" s="1186"/>
    </row>
    <row r="12" spans="1:6" x14ac:dyDescent="0.2">
      <c r="A12" s="1530" t="s">
        <v>806</v>
      </c>
      <c r="B12" s="1530"/>
      <c r="C12" s="1193">
        <f>SUM(C5:C11)</f>
        <v>61507219792.224998</v>
      </c>
      <c r="D12" s="1193">
        <f>SUM(D5:D11)</f>
        <v>3097229224</v>
      </c>
      <c r="E12" s="1193">
        <f>C12-D12</f>
        <v>58409990568.224998</v>
      </c>
      <c r="F12" s="954"/>
    </row>
  </sheetData>
  <mergeCells count="1">
    <mergeCell ref="A12:B12"/>
  </mergeCells>
  <pageMargins left="1.45" right="0.7" top="0.75" bottom="0.75" header="0.3" footer="0.3"/>
  <pageSetup scale="10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Gen-Ind</vt:lpstr>
      <vt:lpstr>Generation Reading</vt:lpstr>
      <vt:lpstr>GMCO Generation</vt:lpstr>
      <vt:lpstr>Comparison</vt:lpstr>
      <vt:lpstr>Summary</vt:lpstr>
      <vt:lpstr>EAUD'S</vt:lpstr>
      <vt:lpstr>Diff</vt:lpstr>
      <vt:lpstr>SE SIR</vt:lpstr>
      <vt:lpstr>Entry</vt:lpstr>
      <vt:lpstr>Adani Gen</vt:lpstr>
      <vt:lpstr>Sheet1</vt:lpstr>
      <vt:lpstr>Comparison!Print_Area</vt:lpstr>
      <vt:lpstr>'EAUD''S'!Print_Area</vt:lpstr>
      <vt:lpstr>'Generation Reading'!Print_Area</vt:lpstr>
      <vt:lpstr>'Gen-Ind'!Print_Area</vt:lpstr>
      <vt:lpstr>'GMCO Generation'!Print_Area</vt:lpstr>
      <vt:lpstr>'SE SIR'!Print_Area</vt:lpstr>
      <vt:lpstr>Sheet1!Print_Area</vt:lpstr>
      <vt:lpstr>Summary!Print_Area</vt:lpstr>
      <vt:lpstr>'GMCO Generation'!Print_Titles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EmdaD</dc:creator>
  <cp:lastModifiedBy>HP</cp:lastModifiedBy>
  <cp:lastPrinted>2025-06-23T07:49:25Z</cp:lastPrinted>
  <dcterms:created xsi:type="dcterms:W3CDTF">1996-10-14T23:33:28Z</dcterms:created>
  <dcterms:modified xsi:type="dcterms:W3CDTF">2025-07-22T05:02:33Z</dcterms:modified>
</cp:coreProperties>
</file>